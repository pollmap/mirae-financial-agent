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aaf994abfdf4001" /></Relationships>
</file>

<file path=xl/workbook.xml><?xml version="1.0" encoding="utf-8"?>
<x:workbook xmlns:x="http://schemas.openxmlformats.org/spreadsheetml/2006/main">
  <x:sheets>
    <x:sheet xmlns:r="http://schemas.openxmlformats.org/officeDocument/2006/relationships" name="Cover" sheetId="1" r:id="Rf8d75ace73b14231"/>
    <x:sheet xmlns:r="http://schemas.openxmlformats.org/officeDocument/2006/relationships" name="Dataset Summary" sheetId="2" r:id="R0f457b71c9d44e5a"/>
    <x:sheet xmlns:r="http://schemas.openxmlformats.org/officeDocument/2006/relationships" name="Key Audit" sheetId="3" r:id="R0e521a38d5744204"/>
    <x:sheet xmlns:r="http://schemas.openxmlformats.org/officeDocument/2006/relationships" name="Field Profile" sheetId="4" r:id="Rb721d74c025744ff"/>
    <x:sheet xmlns:r="http://schemas.openxmlformats.org/officeDocument/2006/relationships" name="Metric Policy" sheetId="5" r:id="R7b19d7083eda413a"/>
    <x:sheet xmlns:r="http://schemas.openxmlformats.org/officeDocument/2006/relationships" name="Canonical Registry" sheetId="6" r:id="Rf2915e8774274473"/>
    <x:sheet xmlns:r="http://schemas.openxmlformats.org/officeDocument/2006/relationships" name="Serving Quality" sheetId="7" r:id="Rea95f30c100943d3"/>
    <x:sheet xmlns:r="http://schemas.openxmlformats.org/officeDocument/2006/relationships" name="Requirements" sheetId="8" r:id="Ra4312734e25a40fa"/>
    <x:sheet xmlns:r="http://schemas.openxmlformats.org/officeDocument/2006/relationships" name="Risk Register" sheetId="9" r:id="Ra2e9dcfc974843d3"/>
    <x:sheet xmlns:r="http://schemas.openxmlformats.org/officeDocument/2006/relationships" name="Briefing Questions" sheetId="10" r:id="R15aa5412ec794208"/>
    <x:sheet xmlns:r="http://schemas.openxmlformats.org/officeDocument/2006/relationships" name="Checks" sheetId="11" r:id="Rfa08842a2b7145d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0.0%"/>
  </x:numFmts>
  <x:fonts count="11">
    <x:font>
      <x:sz val="11"/>
      <x:name val="Carlito"/>
    </x:font>
    <x:font>
      <x:b/>
      <x:sz val="10"/>
      <x:color rgb="FFFFFFFF"/>
      <x:name val="Carlito"/>
    </x:font>
    <x:font>
      <x:sz val="9"/>
      <x:color rgb="FF17212B"/>
      <x:name val="Carlito"/>
    </x:font>
    <x:font>
      <x:b/>
      <x:sz val="9"/>
      <x:color rgb="FF0B3B67"/>
      <x:name val="Carlito"/>
    </x:font>
    <x:font>
      <x:b/>
      <x:sz val="20"/>
      <x:color rgb="FFFFFFFF"/>
      <x:name val="Carlito"/>
    </x:font>
    <x:font>
      <x:i/>
      <x:sz val="11"/>
      <x:color rgb="FF0B3B67"/>
      <x:name val="Carlito"/>
    </x:font>
    <x:font>
      <x:sz val="10"/>
      <x:color rgb="FF17212B"/>
      <x:name val="Carlito"/>
    </x:font>
    <x:font>
      <x:b/>
      <x:sz val="10"/>
      <x:color rgb="FF7A4B00"/>
      <x:name val="Carlito"/>
    </x:font>
    <x:font>
      <x:b/>
      <x:sz val="11"/>
      <x:color rgb="FFFFFFFF"/>
      <x:name val="Carlito"/>
    </x:font>
    <x:font>
      <x:b/>
      <x:sz val="11"/>
      <x:color rgb="FF0B3B67"/>
      <x:name val="Carlito"/>
    </x:font>
    <x:font>
      <x:b/>
      <x:sz val="11"/>
      <x:color rgb="FFF58220"/>
      <x:name val="Carlito"/>
    </x:font>
  </x:fonts>
  <x:fills count="8">
    <x:fill>
      <x:patternFill patternType="none"/>
    </x:fill>
    <x:fill>
      <x:patternFill patternType="gray125"/>
    </x:fill>
    <x:fill>
      <x:patternFill patternType="solid">
        <x:fgColor rgb="FF0B3B67"/>
      </x:patternFill>
    </x:fill>
    <x:fill>
      <x:patternFill patternType="solid">
        <x:fgColor rgb="FFEAF2F8"/>
      </x:patternFill>
    </x:fill>
    <x:fill>
      <x:patternFill patternType="solid">
        <x:fgColor rgb="FFE8F5E9"/>
      </x:patternFill>
    </x:fill>
    <x:fill>
      <x:patternFill patternType="solid">
        <x:fgColor rgb="FFFFF4CE"/>
      </x:patternFill>
    </x:fill>
    <x:fill>
      <x:patternFill patternType="solid">
        <x:fgColor rgb="FFF58220"/>
      </x:patternFill>
    </x:fill>
    <x:fill>
      <x:patternFill patternType="solid">
        <x:fgColor rgb="FFFFF1E5"/>
      </x:patternFill>
    </x:fill>
  </x:fills>
  <x:borders count="8">
    <x:border/>
    <x:border>
      <x:left style="thin">
        <x:color rgb="FF0B3B67"/>
      </x:left>
      <x:top style="thin">
        <x:color rgb="FF0B3B67"/>
      </x:top>
      <x:bottom style="thin">
        <x:color rgb="FF0B3B67"/>
      </x:bottom>
    </x:border>
    <x:border>
      <x:top style="thin">
        <x:color rgb="FF0B3B67"/>
      </x:top>
      <x:bottom style="thin">
        <x:color rgb="FF0B3B67"/>
      </x:bottom>
    </x:border>
    <x:border>
      <x:right style="thin">
        <x:color rgb="FF0B3B67"/>
      </x:right>
      <x:top style="thin">
        <x:color rgb="FF0B3B67"/>
      </x:top>
      <x:bottom style="thin">
        <x:color rgb="FF0B3B67"/>
      </x:bottom>
    </x:border>
    <x:border>
      <x:bottom style="thin">
        <x:color rgb="FFD9E2EC"/>
      </x:bottom>
    </x:border>
    <x:border>
      <x:top style="thin">
        <x:color rgb="FFD9E2EC"/>
      </x:top>
      <x:bottom style="thin">
        <x:color rgb="FFD9E2EC"/>
      </x:bottom>
    </x:border>
    <x:border>
      <x:top style="medium">
        <x:color rgb="FF0B3B67"/>
      </x:top>
      <x:bottom style="thin">
        <x:color rgb="FFD9E2EC"/>
      </x:bottom>
    </x:border>
    <x:border>
      <x:top style="thin">
        <x:color rgb="FFD9E2EC"/>
      </x:top>
    </x:border>
  </x:borders>
  <x:cellStyleXfs count="1">
    <x:xf numFmtId="0" fontId="0" fillId="0" borderId="0"/>
  </x:cellStyleXfs>
  <x:cellXfs count="7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2" fillId="0" borderId="0"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4"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3" fillId="3" borderId="6" xfId="0" applyNumberFormat="1" applyFont="1" applyFill="1" applyBorder="1" applyAlignment="1">
      <x:alignment vertical="top" wrapText="1"/>
    </x:xf>
    <x:xf numFmtId="201" fontId="2" fillId="0" borderId="4" xfId="0" applyNumberFormat="1" applyFont="1" applyFill="1" applyBorder="1" applyAlignment="1">
      <x:alignment vertical="top" wrapText="1"/>
    </x:xf>
    <x:xf numFmtId="201" fontId="2" fillId="0" borderId="5" xfId="0" applyNumberFormat="1" applyFont="1" applyFill="1" applyBorder="1" applyAlignment="1">
      <x:alignment vertical="top" wrapText="1"/>
    </x:xf>
    <x:xf numFmtId="202" fontId="2" fillId="0" borderId="4" xfId="0" applyNumberFormat="1" applyFont="1" applyFill="1" applyBorder="1" applyAlignment="1">
      <x:alignment vertical="top" wrapText="1"/>
    </x:xf>
    <x:xf numFmtId="202" fontId="2" fillId="0" borderId="5"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vertical="center"/>
    </x:xf>
    <x:xf numFmtId="200" fontId="0" fillId="0" borderId="0" xfId="0" applyNumberFormat="1" applyFont="1" applyFill="1" applyBorder="1"/>
    <x:xf numFmtId="200" fontId="2" fillId="0" borderId="0" xfId="0" applyNumberFormat="1" applyFont="1" applyFill="1" applyBorder="1"/>
    <x:xf numFmtId="200" fontId="2" fillId="0" borderId="4" xfId="0" applyNumberFormat="1" applyFont="1" applyFill="1" applyBorder="1"/>
    <x:xf numFmtId="200" fontId="2" fillId="0" borderId="5" xfId="0" applyNumberFormat="1" applyFont="1" applyFill="1" applyBorder="1"/>
    <x:xf numFmtId="200" fontId="2" fillId="0" borderId="4" xfId="0" applyNumberFormat="1" applyFont="1" applyFill="1" applyBorder="1" applyAlignment="1">
      <x:alignment wrapText="1"/>
    </x:xf>
    <x:xf numFmtId="200" fontId="2" fillId="0" borderId="5" xfId="0" applyNumberFormat="1" applyFont="1" applyFill="1" applyBorder="1" applyAlignment="1">
      <x:alignment wrapText="1"/>
    </x:xf>
    <x:xf numFmtId="0" fontId="0" fillId="4" borderId="0" xfId="0" applyNumberFormat="1" applyFont="1" applyFill="1" applyBorder="1"/>
    <x:xf numFmtId="0" fontId="6" fillId="4" borderId="0" xfId="0" applyNumberFormat="1" applyFont="1" applyFill="1" applyBorder="1"/>
    <x:xf numFmtId="0" fontId="6" fillId="4" borderId="4" xfId="0" applyNumberFormat="1" applyFont="1" applyFill="1" applyBorder="1"/>
    <x:xf numFmtId="0" fontId="6" fillId="4" borderId="5" xfId="0" applyNumberFormat="1" applyFont="1" applyFill="1" applyBorder="1"/>
    <x:xf numFmtId="0" fontId="6" fillId="4" borderId="7" xfId="0" applyNumberFormat="1" applyFont="1" applyFill="1" applyBorder="1"/>
    <x:xf numFmtId="0" fontId="6" fillId="4" borderId="4"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7" xfId="0" applyNumberFormat="1" applyFont="1" applyFill="1" applyBorder="1" applyAlignment="1">
      <x:alignment wrapText="1"/>
    </x:xf>
    <x:xf numFmtId="0" fontId="6" fillId="5" borderId="7" xfId="0" applyNumberFormat="1" applyFont="1" applyFill="1" applyBorder="1" applyAlignment="1">
      <x:alignment wrapText="1"/>
    </x:xf>
    <x:xf numFmtId="0" fontId="7" fillId="5" borderId="7" xfId="0" applyNumberFormat="1" applyFont="1" applyFill="1" applyBorder="1" applyAlignment="1">
      <x:alignment wrapText="1"/>
    </x:xf>
    <x:xf numFmtId="0" fontId="0" fillId="6" borderId="0" xfId="0" applyNumberFormat="1" applyFont="1" applyFill="1" applyBorder="1"/>
    <x:xf numFmtId="0" fontId="8" fillId="6" borderId="0" xfId="0" applyNumberFormat="1" applyFont="1" applyFill="1" applyBorder="1"/>
    <x:xf numFmtId="0" fontId="9" fillId="0" borderId="0" xfId="0" applyNumberFormat="1" applyFont="1" applyFill="1" applyBorder="1"/>
    <x:xf numFmtId="0" fontId="9"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9" fillId="0" borderId="4" xfId="0" applyNumberFormat="1" applyFont="1" applyFill="1" applyBorder="1" applyAlignment="1">
      <x:alignment wrapText="1"/>
    </x:xf>
    <x:xf numFmtId="0" fontId="0" fillId="0" borderId="4" xfId="0" applyNumberFormat="1" applyFont="1" applyFill="1" applyBorder="1" applyAlignment="1">
      <x:alignment wrapText="1"/>
    </x:xf>
    <x:xf numFmtId="0" fontId="9" fillId="0" borderId="5" xfId="0" applyNumberFormat="1" applyFont="1" applyFill="1" applyBorder="1" applyAlignment="1">
      <x:alignment wrapText="1"/>
    </x:xf>
    <x:xf numFmtId="0" fontId="0" fillId="0" borderId="5" xfId="0" applyNumberFormat="1" applyFont="1" applyFill="1" applyBorder="1" applyAlignment="1">
      <x:alignment wrapText="1"/>
    </x:xf>
    <x:xf numFmtId="0" fontId="9" fillId="0" borderId="7" xfId="0" applyNumberFormat="1" applyFont="1" applyFill="1" applyBorder="1" applyAlignment="1">
      <x:alignment wrapText="1"/>
    </x:xf>
    <x:xf numFmtId="0" fontId="0" fillId="0" borderId="7" xfId="0" applyNumberFormat="1" applyFont="1" applyFill="1" applyBorder="1" applyAlignment="1">
      <x:alignment wrapText="1"/>
    </x:xf>
    <x:xf numFmtId="0" fontId="8" fillId="2" borderId="0" xfId="0" applyNumberFormat="1" applyFont="1" applyFill="1" applyBorder="1"/>
    <x:xf numFmtId="0" fontId="0" fillId="7" borderId="0" xfId="0" applyNumberFormat="1" applyFont="1" applyFill="1" applyBorder="1"/>
    <x:xf numFmtId="0" fontId="10" fillId="7" borderId="0" xfId="0" applyNumberFormat="1" applyFont="1" applyFill="1" applyBorder="1"/>
    <x:xf numFmtId="0" fontId="10" fillId="7" borderId="0" xfId="0" applyNumberFormat="1" applyFont="1" applyFill="1" applyBorder="1" applyAlignment="1">
      <x:alignment horizontal="center"/>
    </x:xf>
    <x:xf numFmtId="0" fontId="10" fillId="7" borderId="0" xfId="0" applyNumberFormat="1" applyFont="1" applyFill="1" applyBorder="1" applyAlignment="1">
      <x:alignment horizontal="center" wrapText="1"/>
    </x:xf>
    <x:xf numFmtId="0" fontId="10" fillId="7" borderId="4" xfId="0" applyNumberFormat="1" applyFont="1" applyFill="1" applyBorder="1" applyAlignment="1">
      <x:alignment horizontal="center" wrapText="1"/>
    </x:xf>
    <x:xf numFmtId="0" fontId="10" fillId="7" borderId="5" xfId="0" applyNumberFormat="1" applyFont="1" applyFill="1" applyBorder="1" applyAlignment="1">
      <x:alignment horizontal="center" wrapText="1"/>
    </x:xf>
    <x:xf numFmtId="0" fontId="10" fillId="7" borderId="7" xfId="0" applyNumberFormat="1" applyFont="1" applyFill="1" applyBorder="1" applyAlignment="1">
      <x:alignment horizontal="center" wrapText="1"/>
    </x:xf>
  </x:cellXfs>
  <x:cellStyles count="1">
    <x:cellStyle name="Normal" xfId="0"/>
  </x:cellStyles>
  <x:dxfs count="13">
    <x:dxf>
      <x:font>
        <x:color rgb="FF7A4B00"/>
      </x:font>
      <x:fill>
        <x:patternFill patternType="solid">
          <x:bgColor rgb="FFFFF4CE"/>
        </x:patternFill>
      </x:fill>
    </x:dxf>
    <x:dxf>
      <x:font>
        <x:color rgb="FF7A4B00"/>
      </x:font>
      <x:fill>
        <x:patternFill patternType="solid">
          <x:bgColor rgb="FFFFF4CE"/>
        </x:patternFill>
      </x:fill>
    </x:dxf>
    <x:dxf>
      <x:font>
        <x:b/>
        <x:color rgb="FF2E5D32"/>
      </x:font>
      <x:fill>
        <x:patternFill patternType="solid">
          <x:bgColor rgb="FFE8F5E9"/>
        </x:patternFill>
      </x:fill>
    </x:dxf>
    <x:dxf>
      <x:font>
        <x:b/>
        <x:color rgb="FF7A4B00"/>
      </x:font>
      <x:fill>
        <x:patternFill patternType="solid">
          <x:bgColor rgb="FFFFF4CE"/>
        </x:patternFill>
      </x:fill>
    </x:dxf>
    <x:dxf>
      <x:font>
        <x:b/>
        <x:color rgb="FF2E5D32"/>
      </x:font>
      <x:fill>
        <x:patternFill patternType="solid">
          <x:bgColor rgb="FFE8F5E9"/>
        </x:patternFill>
      </x:fill>
    </x:dxf>
    <x:dxf>
      <x:font>
        <x:b/>
        <x:color rgb="FF7A4B00"/>
      </x:font>
      <x:fill>
        <x:patternFill patternType="solid">
          <x:bgColor rgb="FFFFF4CE"/>
        </x:patternFill>
      </x:fill>
    </x:dxf>
    <x:dxf>
      <x:font>
        <x:b/>
        <x:color rgb="FF7A4B00"/>
      </x:font>
      <x:fill>
        <x:patternFill patternType="solid">
          <x:bgColor rgb="FFFFF4CE"/>
        </x:patternFill>
      </x:fill>
    </x:dxf>
    <x:dxf>
      <x:font>
        <x:b/>
        <x:color rgb="FF2E5D32"/>
      </x:font>
      <x:fill>
        <x:patternFill patternType="solid">
          <x:bgColor rgb="FFE8F5E9"/>
        </x:patternFill>
      </x:fill>
    </x:dxf>
    <x:dxf>
      <x:font>
        <x:b/>
        <x:color rgb="FF7A4B00"/>
      </x:font>
      <x:fill>
        <x:patternFill patternType="solid">
          <x:bgColor rgb="FFFFF4CE"/>
        </x:patternFill>
      </x:fill>
    </x:dxf>
    <x:dxf>
      <x:font>
        <x:b/>
        <x:color rgb="FF8A1C1C"/>
      </x:font>
      <x:fill>
        <x:patternFill patternType="solid">
          <x:bgColor rgb="FFFDECEC"/>
        </x:patternFill>
      </x:fill>
    </x:dxf>
    <x:dxf>
      <x:font>
        <x:b/>
        <x:color rgb="FF7A4B00"/>
      </x:font>
      <x:fill>
        <x:patternFill patternType="solid">
          <x:bgColor rgb="FFFFF4CE"/>
        </x:patternFill>
      </x:fill>
    </x:dxf>
    <x:dxf>
      <x:font>
        <x:b/>
        <x:color rgb="FF2E5D32"/>
      </x:font>
      <x:fill>
        <x:patternFill patternType="solid">
          <x:bgColor rgb="FFE8F5E9"/>
        </x:patternFill>
      </x:fill>
    </x:dxf>
    <x:dxf>
      <x:font>
        <x:b/>
        <x:color rgb="FF8A1C1C"/>
      </x:font>
      <x:fill>
        <x:patternFill patternType="solid">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ade913673b54b91" /><Relationship Type="http://schemas.openxmlformats.org/officeDocument/2006/relationships/theme" Target="/xl/theme/theme1.xml" Id="Rdeaf77cec376450e" /><Relationship Type="http://schemas.openxmlformats.org/officeDocument/2006/relationships/sharedStrings" Target="/xl/sharedStrings.xml" Id="Ra80371e784d545cb" /><Relationship Type="http://schemas.openxmlformats.org/officeDocument/2006/relationships/worksheet" Target="/xl/worksheets/sheet1.xml" Id="Rf8d75ace73b14231" /><Relationship Type="http://schemas.openxmlformats.org/officeDocument/2006/relationships/worksheet" Target="/xl/worksheets/sheet2.xml" Id="R0f457b71c9d44e5a" /><Relationship Type="http://schemas.openxmlformats.org/officeDocument/2006/relationships/worksheet" Target="/xl/worksheets/sheet3.xml" Id="R0e521a38d5744204" /><Relationship Type="http://schemas.openxmlformats.org/officeDocument/2006/relationships/worksheet" Target="/xl/worksheets/sheet4.xml" Id="Rb721d74c025744ff" /><Relationship Type="http://schemas.openxmlformats.org/officeDocument/2006/relationships/worksheet" Target="/xl/worksheets/sheet5.xml" Id="R7b19d7083eda413a" /><Relationship Type="http://schemas.openxmlformats.org/officeDocument/2006/relationships/worksheet" Target="/xl/worksheets/sheet6.xml" Id="Rf2915e8774274473" /><Relationship Type="http://schemas.openxmlformats.org/officeDocument/2006/relationships/worksheet" Target="/xl/worksheets/sheet7.xml" Id="Rea95f30c100943d3" /><Relationship Type="http://schemas.openxmlformats.org/officeDocument/2006/relationships/worksheet" Target="/xl/worksheets/sheet8.xml" Id="Ra4312734e25a40fa" /><Relationship Type="http://schemas.openxmlformats.org/officeDocument/2006/relationships/worksheet" Target="/xl/worksheets/sheet9.xml" Id="Ra2e9dcfc974843d3" /><Relationship Type="http://schemas.openxmlformats.org/officeDocument/2006/relationships/worksheet" Target="/xl/worksheets/sheet10.xml" Id="R15aa5412ec794208" /><Relationship Type="http://schemas.openxmlformats.org/officeDocument/2006/relationships/worksheet" Target="/xl/worksheets/sheet11.xml" Id="Rfa08842a2b7145dc" /></Relationships>
</file>

<file path=xl/tables/table1.xml><?xml version="1.0" encoding="utf-8"?>
<x:table xmlns:x="http://schemas.openxmlformats.org/spreadsheetml/2006/main" id="1" name="DatasetSummaryTable" displayName="DatasetSummaryTable" ref="A1:J6" headerRowCount="1" totalsRowCount="0" totalsRowShown="0">
  <x:tableColumns count="10">
    <x:tableColumn id="1" name="dataset_id"/>
    <x:tableColumn id="2" name="product_group"/>
    <x:tableColumn id="3" name="raw_role"/>
    <x:tableColumn id="4" name="raw_rows"/>
    <x:tableColumn id="5" name="columns"/>
    <x:tableColumn id="6" name="logical_products"/>
    <x:tableColumn id="7" name="serving_products"/>
    <x:tableColumn id="8" name="quarantine_rows"/>
    <x:tableColumn id="9" name="serving_attribute_rows"/>
    <x:tableColumn id="10" name="key_caution"/>
  </x:tableColumns>
  <x:tableStyleInfo name="TableStyleMedium2" showFirstColumn="0" showLastColumn="0" showRowStripes="1" showColumnStripes="0"/>
</x:table>
</file>

<file path=xl/tables/table2.xml><?xml version="1.0" encoding="utf-8"?>
<x:table xmlns:x="http://schemas.openxmlformats.org/spreadsheetml/2006/main" id="2" name="KeyAuditTable" displayName="KeyAuditTable" ref="A1:H12" headerRowCount="1" totalsRowCount="0" totalsRowShown="0">
  <x:tableColumns count="8">
    <x:tableColumn id="1" name="﻿dataset_id"/>
    <x:tableColumn id="2" name="key_columns"/>
    <x:tableColumn id="3" name="row_count"/>
    <x:tableColumn id="4" name="nonblank_key_count"/>
    <x:tableColumn id="5" name="missing_key_count"/>
    <x:tableColumn id="6" name="distinct_key_count"/>
    <x:tableColumn id="7" name="duplicate_key_rows"/>
    <x:tableColumn id="8" name="is_unique_when_present"/>
  </x:tableColumns>
  <x:tableStyleInfo name="TableStyleMedium2" showFirstColumn="0" showLastColumn="0" showRowStripes="1" showColumnStripes="0"/>
</x:table>
</file>

<file path=xl/tables/table3.xml><?xml version="1.0" encoding="utf-8"?>
<x:table xmlns:x="http://schemas.openxmlformats.org/spreadsheetml/2006/main" id="3" name="FieldProfileTable" displayName="FieldProfileTable" ref="A1:U208" headerRowCount="1" totalsRowCount="0" totalsRowShown="0">
  <x:tableColumns count="21">
    <x:tableColumn id="1" name="﻿dataset_id"/>
    <x:tableColumn id="2" name="column_name"/>
    <x:tableColumn id="3" name="schema_type"/>
    <x:tableColumn id="4" name="column_name_ko"/>
    <x:tableColumn id="5" name="schema_example"/>
    <x:tableColumn id="6" name="total_rows"/>
    <x:tableColumn id="7" name="nonblank_count"/>
    <x:tableColumn id="8" name="coverage_ratio"/>
    <x:tableColumn id="9" name="blank_count"/>
    <x:tableColumn id="10" name="whitespace_only_count"/>
    <x:tableColumn id="11" name="sentinel_null_count"/>
    <x:tableColumn id="12" name="numeric_parseable_count"/>
    <x:tableColumn id="13" name="zero_count"/>
    <x:tableColumn id="14" name="negative_count"/>
    <x:tableColumn id="15" name="unique_count"/>
    <x:tableColumn id="16" name="numeric_min"/>
    <x:tableColumn id="17" name="numeric_max"/>
    <x:tableColumn id="18" name="date_like_min"/>
    <x:tableColumn id="19" name="date_like_max"/>
    <x:tableColumn id="20" name="sample_values"/>
    <x:tableColumn id="21" name="top_values"/>
  </x:tableColumns>
  <x:tableStyleInfo name="TableStyleMedium2" showFirstColumn="0" showLastColumn="0" showRowStripes="1" showColumnStripes="0"/>
</x:table>
</file>

<file path=xl/tables/table4.xml><?xml version="1.0" encoding="utf-8"?>
<x:table xmlns:x="http://schemas.openxmlformats.org/spreadsheetml/2006/main" id="4" name="MetricPolicyTable" displayName="MetricPolicyTable" ref="A1:S60" headerRowCount="1" totalsRowCount="0" totalsRowShown="0">
  <x:tableColumns count="19">
    <x:tableColumn id="1" name="metric_id"/>
    <x:tableColumn id="2" name="scope"/>
    <x:tableColumn id="3" name="source_table"/>
    <x:tableColumn id="4" name="source_field"/>
    <x:tableColumn id="5" name="raw_denominator"/>
    <x:tableColumn id="6" name="present_count"/>
    <x:tableColumn id="7" name="valid_count"/>
    <x:tableColumn id="8" name="serving_denominator"/>
    <x:tableColumn id="9" name="serving_present_count"/>
    <x:tableColumn id="10" name="type_specific_universe"/>
    <x:tableColumn id="11" name="type_specific_denominator"/>
    <x:tableColumn id="12" name="type_specific_present_count"/>
    <x:tableColumn id="13" name="rankable_denominator"/>
    <x:tableColumn id="14" name="unit_status"/>
    <x:tableColumn id="15" name="zero_policy"/>
    <x:tableColumn id="16" name="ranking_policy"/>
    <x:tableColumn id="17" name="cross_product_policy"/>
    <x:tableColumn id="18" name="policy_state"/>
    <x:tableColumn id="19" name="notes"/>
  </x:tableColumns>
  <x:tableStyleInfo name="TableStyleMedium2" showFirstColumn="0" showLastColumn="0" showRowStripes="1" showColumnStripes="0"/>
</x:table>
</file>

<file path=xl/tables/table5.xml><?xml version="1.0" encoding="utf-8"?>
<x:table xmlns:x="http://schemas.openxmlformats.org/spreadsheetml/2006/main" id="5" name="CanonicalRegistryTable" displayName="CanonicalRegistryTable" ref="A1:M208" headerRowCount="1" totalsRowCount="0" totalsRowShown="0">
  <x:tableColumns count="13">
    <x:tableColumn id="1" name="canonical_field"/>
    <x:tableColumn id="2" name="scope"/>
    <x:tableColumn id="3" name="source_table"/>
    <x:tableColumn id="4" name="source_field"/>
    <x:tableColumn id="5" name="source_role"/>
    <x:tableColumn id="6" name="data_type"/>
    <x:tableColumn id="7" name="unit_status"/>
    <x:tableColumn id="8" name="allowed_ops"/>
    <x:tableColumn id="9" name="filter_policy"/>
    <x:tableColumn id="10" name="sort_policy"/>
    <x:tableColumn id="11" name="quality_policy"/>
    <x:tableColumn id="12" name="as_of_field"/>
    <x:tableColumn id="13" name="notes"/>
  </x:tableColumns>
  <x:tableStyleInfo name="TableStyleMedium2" showFirstColumn="0" showLastColumn="0" showRowStripes="1" showColumnStripes="0"/>
</x:table>
</file>

<file path=xl/tables/table6.xml><?xml version="1.0" encoding="utf-8"?>
<x:table xmlns:x="http://schemas.openxmlformats.org/spreadsheetml/2006/main" id="6" name="QualityStateTable" displayName="QualityStateTable" ref="A1:D9" headerRowCount="1" totalsRowCount="0" totalsRowShown="0">
  <x:tableColumns count="4">
    <x:tableColumn id="1" name="quality_state"/>
    <x:tableColumn id="2" name="metric_rows"/>
    <x:tableColumn id="3" name="plain_meaning"/>
    <x:tableColumn id="4" name="execution_policy"/>
  </x:tableColumns>
  <x:tableStyleInfo name="TableStyleMedium2" showFirstColumn="0" showLastColumn="0" showRowStripes="1" showColumnStripes="0"/>
</x:table>
</file>

<file path=xl/tables/table7.xml><?xml version="1.0" encoding="utf-8"?>
<x:table xmlns:x="http://schemas.openxmlformats.org/spreadsheetml/2006/main" id="7" name="AsOfStateTable" displayName="AsOfStateTable" ref="A12:D15" headerRowCount="1" totalsRowCount="0" totalsRowShown="0">
  <x:tableColumns count="4">
    <x:tableColumn id="1" name="as_of_state"/>
    <x:tableColumn id="2" name="metric_rows"/>
    <x:tableColumn id="3" name="meaning"/>
    <x:tableColumn id="4" name="ranking_rule"/>
  </x:tableColumns>
  <x:tableStyleInfo name="TableStyleMedium2" showFirstColumn="0" showLastColumn="0" showRowStripes="1" showColumnStripes="0"/>
</x:table>
</file>

<file path=xl/tables/table8.xml><?xml version="1.0" encoding="utf-8"?>
<x:table xmlns:x="http://schemas.openxmlformats.org/spreadsheetml/2006/main" id="8" name="ServingDecisionTable" displayName="ServingDecisionTable" ref="A18:F26" headerRowCount="1" totalsRowCount="0" totalsRowShown="0">
  <x:tableColumns count="6">
    <x:tableColumn id="1" name="decision_area"/>
    <x:tableColumn id="2" name="universe"/>
    <x:tableColumn id="3" name="source_present"/>
    <x:tableColumn id="4" name="quality_valid"/>
    <x:tableColumn id="5" name="rankable_or_default"/>
    <x:tableColumn id="6" name="rule"/>
  </x:tableColumns>
  <x:tableStyleInfo name="TableStyleMedium2" showFirstColumn="0" showLastColumn="0" showRowStripes="1" showColumnStripes="0"/>
</x:table>
</file>

<file path=xl/tables/table9.xml><?xml version="1.0" encoding="utf-8"?>
<x:table xmlns:x="http://schemas.openxmlformats.org/spreadsheetml/2006/main" id="9" name="RequirementsTable" displayName="RequirementsTable" ref="A1:G47" headerRowCount="1" totalsRowCount="0" totalsRowShown="0">
  <x:tableColumns count="7">
    <x:tableColumn id="1" name="requirement_id"/>
    <x:tableColumn id="2" name="authority"/>
    <x:tableColumn id="3" name="source_locator"/>
    <x:tableColumn id="4" name="requirement"/>
    <x:tableColumn id="5" name="implementation_control"/>
    <x:tableColumn id="6" name="verification"/>
    <x:tableColumn id="7" name="status"/>
  </x:tableColumns>
  <x:tableStyleInfo name="TableStyleMedium2" showFirstColumn="0" showLastColumn="0" showRowStripes="1" showColumnStripes="0"/>
</x:table>
</file>

<file path=xl/tables/table10.xml><?xml version="1.0" encoding="utf-8"?>
<x:table xmlns:x="http://schemas.openxmlformats.org/spreadsheetml/2006/main" id="10" name="RiskRegisterTable" displayName="RiskRegisterTable" ref="A1:G18" headerRowCount="1" totalsRowCount="0" totalsRowShown="0">
  <x:tableColumns count="7">
    <x:tableColumn id="1" name="priority"/>
    <x:tableColumn id="2" name="area"/>
    <x:tableColumn id="3" name="risk"/>
    <x:tableColumn id="4" name="impact"/>
    <x:tableColumn id="5" name="current_control"/>
    <x:tableColumn id="6" name="next_action"/>
    <x:tableColumn id="7" name="status"/>
  </x:tableColumns>
  <x:tableStyleInfo name="TableStyleMedium2" showFirstColumn="0" showLastColumn="0" showRowStripes="1" showColumnStripes="0"/>
</x:table>
</file>

<file path=xl/tables/table11.xml><?xml version="1.0" encoding="utf-8"?>
<x:table xmlns:x="http://schemas.openxmlformats.org/spreadsheetml/2006/main" id="11" name="BriefingQuestionsTable" displayName="BriefingQuestionsTable" ref="A1:F23" headerRowCount="1" totalsRowCount="0" totalsRowShown="0">
  <x:tableColumns count="6">
    <x:tableColumn id="1" name="priority"/>
    <x:tableColumn id="2" name="question"/>
    <x:tableColumn id="3" name="why_it_matters"/>
    <x:tableColumn id="4" name="current_assumption"/>
    <x:tableColumn id="5" name="required_update"/>
    <x:tableColumn id="6" name="status"/>
  </x:tableColumns>
  <x:tableStyleInfo name="TableStyleMedium2" showFirstColumn="0" showLastColumn="0" showRowStripes="1" showColumnStripes="0"/>
</x:table>
</file>

<file path=xl/tables/table12.xml><?xml version="1.0" encoding="utf-8"?>
<x:table xmlns:x="http://schemas.openxmlformats.org/spreadsheetml/2006/main" id="12" name="ChecksTable" displayName="ChecksTable" ref="A1:G10" headerRowCount="1" totalsRowCount="0" totalsRowShown="0">
  <x:tableColumns count="7">
    <x:tableColumn id="1" name="check"/>
    <x:tableColumn id="2" name="actual"/>
    <x:tableColumn id="3" name="expected"/>
    <x:tableColumn id="4" name="difference"/>
    <x:tableColumn id="5" name="tolerance"/>
    <x:tableColumn id="6" name="status"/>
    <x:tableColumn id="7"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ec56cc9ff7a4237" /></Relationships>
</file>

<file path=xl/worksheets/_rels/sheet3.xml.rels>&#65279;<?xml version="1.0" encoding="utf-8"?><Relationships xmlns="http://schemas.openxmlformats.org/package/2006/relationships"><Relationship Type="http://schemas.openxmlformats.org/officeDocument/2006/relationships/table" Target="/xl/tables/table2.xml" Id="Rcdd321b3cafc4073" /></Relationships>
</file>

<file path=xl/worksheets/_rels/sheet4.xml.rels>&#65279;<?xml version="1.0" encoding="utf-8"?><Relationships xmlns="http://schemas.openxmlformats.org/package/2006/relationships"><Relationship Type="http://schemas.openxmlformats.org/officeDocument/2006/relationships/table" Target="/xl/tables/table3.xml" Id="R81c55d630aa04ada" /></Relationships>
</file>

<file path=xl/worksheets/_rels/sheet5.xml.rels>&#65279;<?xml version="1.0" encoding="utf-8"?><Relationships xmlns="http://schemas.openxmlformats.org/package/2006/relationships"><Relationship Type="http://schemas.openxmlformats.org/officeDocument/2006/relationships/table" Target="/xl/tables/table4.xml" Id="R8c57d443040f4ca4" /></Relationships>
</file>

<file path=xl/worksheets/_rels/sheet6.xml.rels>&#65279;<?xml version="1.0" encoding="utf-8"?><Relationships xmlns="http://schemas.openxmlformats.org/package/2006/relationships"><Relationship Type="http://schemas.openxmlformats.org/officeDocument/2006/relationships/table" Target="/xl/tables/table5.xml" Id="Rce78d2257f8245b5" /></Relationships>
</file>

<file path=xl/worksheets/_rels/sheet7.xml.rels>&#65279;<?xml version="1.0" encoding="utf-8"?><Relationships xmlns="http://schemas.openxmlformats.org/package/2006/relationships"><Relationship Type="http://schemas.openxmlformats.org/officeDocument/2006/relationships/table" Target="/xl/tables/table6.xml" Id="Rff203e7b4b734272" /><Relationship Type="http://schemas.openxmlformats.org/officeDocument/2006/relationships/table" Target="/xl/tables/table7.xml" Id="R25b28cffb647407b" /><Relationship Type="http://schemas.openxmlformats.org/officeDocument/2006/relationships/table" Target="/xl/tables/table8.xml" Id="Ra49d4f12f65d40f9" /></Relationships>
</file>

<file path=xl/worksheets/_rels/sheet8.xml.rels>&#65279;<?xml version="1.0" encoding="utf-8"?><Relationships xmlns="http://schemas.openxmlformats.org/package/2006/relationships"><Relationship Type="http://schemas.openxmlformats.org/officeDocument/2006/relationships/table" Target="/xl/tables/table9.xml" Id="R813162739863447a" /></Relationships>
</file>

<file path=xl/worksheets/_rels/sheet9.xml.rels>&#65279;<?xml version="1.0" encoding="utf-8"?><Relationships xmlns="http://schemas.openxmlformats.org/package/2006/relationships"><Relationship Type="http://schemas.openxmlformats.org/officeDocument/2006/relationships/table" Target="/xl/tables/table10.xml" Id="Rf41867cae5b54fed" /></Relationships>
</file>

<file path=xl/worksheets/_rels/sheet10.xml.rels>&#65279;<?xml version="1.0" encoding="utf-8"?><Relationships xmlns="http://schemas.openxmlformats.org/package/2006/relationships"><Relationship Type="http://schemas.openxmlformats.org/officeDocument/2006/relationships/table" Target="/xl/tables/table11.xml" Id="R943b7ebdea274059" /></Relationships>
</file>

<file path=xl/worksheets/_rels/sheet11.xml.rels>&#65279;<?xml version="1.0" encoding="utf-8"?><Relationships xmlns="http://schemas.openxmlformats.org/package/2006/relationships"><Relationship Type="http://schemas.openxmlformats.org/officeDocument/2006/relationships/table" Target="/xl/tables/table12.xml" Id="R6fb0ef39ec494b3d"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28" hidden="0" customWidth="1"/>
    <x:col min="3" max="3" width="36" hidden="0" customWidth="1"/>
    <x:col min="4" max="4" width="18" hidden="0" customWidth="1"/>
    <x:col min="5" max="5" width="28" hidden="0" customWidth="1"/>
    <x:col min="6" max="6" width="18" hidden="0" customWidth="1"/>
    <x:col min="7" max="7" width="18" hidden="0" customWidth="1"/>
    <x:col min="8" max="8" width="18" hidden="0" customWidth="1"/>
  </x:cols>
  <x:sheetData>
    <x:row r="1" ht="34" customHeight="1">
      <x:c r="A1" s="34" t="str">
        <x:v>Mirae Asset AI Festival - Financial Product Agent</x:v>
      </x:c>
      <x:c r="B1" s="34"/>
      <x:c r="C1" s="34"/>
      <x:c r="D1" s="34"/>
      <x:c r="E1" s="34"/>
      <x:c r="F1" s="34"/>
      <x:c r="G1" s="34"/>
      <x:c r="H1" s="34"/>
    </x:row>
    <x:row r="2" ht="34" customHeight="1">
      <x:c r="A2" s="34"/>
      <x:c r="B2" s="34"/>
      <x:c r="C2" s="34"/>
      <x:c r="D2" s="34"/>
      <x:c r="E2" s="34"/>
      <x:c r="F2" s="34"/>
      <x:c r="G2" s="34"/>
      <x:c r="H2" s="34"/>
    </x:row>
    <x:row r="3" ht="24" customHeight="1">
      <x:c r="A3" s="37" t="str">
        <x:v>Data audit · requirements traceability · briefing questions | 기준일 2026-08-03</x:v>
      </x:c>
      <x:c r="B3" s="37"/>
      <x:c r="C3" s="37"/>
      <x:c r="D3" s="37"/>
      <x:c r="E3" s="37"/>
      <x:c r="F3" s="37"/>
      <x:c r="G3" s="37"/>
      <x:c r="H3" s="37"/>
    </x:row>
    <x:row r="5" ht="34" customHeight="1">
      <x:c r="A5" s="12" t="str">
        <x:v>Core metric | 핵심 지표</x:v>
      </x:c>
      <x:c r="B5" s="14" t="str">
        <x:v>Value | 값</x:v>
      </x:c>
      <x:c r="C5" s="13"/>
      <x:c r="D5" s="13" t="str">
        <x:v>Validation gate | 검증</x:v>
      </x:c>
      <x:c r="E5" s="14" t="str">
        <x:v>Result | 결과</x:v>
      </x:c>
    </x:row>
    <x:row r="6">
      <x:c r="A6" s="20" t="str">
        <x:v>official raw rows</x:v>
      </x:c>
      <x:c r="B6" s="25" t="n">
        <x:f>'Dataset Summary'!D6</x:f>
        <x:v>145393</x:v>
      </x:c>
      <x:c r="D6" s="49" t="str">
        <x:v>source files</x:v>
      </x:c>
      <x:c r="E6" s="49" t="str">
        <x:v>3 + XLSX 8 / PASS</x:v>
      </x:c>
    </x:row>
    <x:row r="7">
      <x:c r="A7" s="21" t="str">
        <x:v>logical products</x:v>
      </x:c>
      <x:c r="B7" s="26" t="n">
        <x:f>'Dataset Summary'!F6</x:f>
        <x:v>60913</x:v>
      </x:c>
      <x:c r="D7" s="50" t="str">
        <x:v>pytest</x:v>
      </x:c>
      <x:c r="E7" s="50" t="str">
        <x:v>fast 153 + full 158 / PASS</x:v>
      </x:c>
    </x:row>
    <x:row r="8">
      <x:c r="A8" s="21" t="str">
        <x:v>serving products</x:v>
      </x:c>
      <x:c r="B8" s="26" t="n">
        <x:f>'Dataset Summary'!G6</x:f>
        <x:v>60903</x:v>
      </x:c>
      <x:c r="D8" s="50" t="str">
        <x:v>gold + policy</x:v>
      </x:c>
      <x:c r="E8" s="50" t="str">
        <x:v>50 / PASS</x:v>
      </x:c>
    </x:row>
    <x:row r="9">
      <x:c r="A9" s="21" t="str">
        <x:v>quarantine rows</x:v>
      </x:c>
      <x:c r="B9" s="26" t="n">
        <x:f>'Dataset Summary'!H6</x:f>
        <x:v>10</x:v>
      </x:c>
      <x:c r="D9" s="50" t="str">
        <x:v>HTTP + load</x:v>
      </x:c>
      <x:c r="E9" s="50" t="str">
        <x:v>15 E2E + 100 requests / PASS</x:v>
      </x:c>
    </x:row>
    <x:row r="10">
      <x:c r="A10" s="21" t="str">
        <x:v>metric evidence rows</x:v>
      </x:c>
      <x:c r="B10" s="26" t="n">
        <x:v>1156332</x:v>
      </x:c>
      <x:c r="D10" s="50" t="str">
        <x:v>HCX-only scan</x:v>
      </x:c>
      <x:c r="E10" s="50" t="str">
        <x:v>28 files / 0 findings</x:v>
      </x:c>
    </x:row>
    <x:row r="11">
      <x:c r="A11" s="21" t="str">
        <x:v>data snapshot date</x:v>
      </x:c>
      <x:c r="B11" s="21" t="str">
        <x:v>2026-07-11</x:v>
      </x:c>
      <x:c r="D11" s="53" t="str">
        <x:v>Docker + live HCX</x:v>
      </x:c>
      <x:c r="E11" s="53" t="str">
        <x:v>EXTERNAL GATE</x:v>
      </x:c>
    </x:row>
    <x:row r="13">
      <x:c r="A13" s="55" t="str">
        <x:v>Authoritative Sources</x:v>
      </x:c>
      <x:c r="B13" s="55"/>
      <x:c r="C13" s="55"/>
      <x:c r="D13" s="55"/>
      <x:c r="E13" s="55"/>
      <x:c r="F13" s="55"/>
      <x:c r="G13" s="55"/>
      <x:c r="H13" s="55"/>
    </x:row>
    <x:row r="14" ht="38" customHeight="1">
      <x:c r="A14" s="59" t="str">
        <x:v>authority</x:v>
      </x:c>
      <x:c r="B14" s="60" t="str">
        <x:v>source</x:v>
      </x:c>
      <x:c r="C14" s="60" t="str">
        <x:v>locator/hash</x:v>
      </x:c>
      <x:c r="D14" s="60"/>
      <x:c r="E14" s="60"/>
      <x:c r="F14" s="60"/>
      <x:c r="G14" s="60"/>
      <x:c r="H14" s="60"/>
    </x:row>
    <x:row r="15" ht="38" customHeight="1">
      <x:c r="A15" s="61" t="str">
        <x:v>OFFICIAL_PDF</x:v>
      </x:c>
      <x:c r="B15" s="62" t="str">
        <x:v>inputs/official_task.pdf</x:v>
      </x:c>
      <x:c r="C15" s="62" t="str">
        <x:v>SHA-256 3717441e091958b7214db710e0e4b9b8ae15ac6c205cad6e51721214798eb3de</x:v>
      </x:c>
      <x:c r="D15" s="62"/>
      <x:c r="E15" s="62"/>
      <x:c r="F15" s="62"/>
      <x:c r="G15" s="62"/>
      <x:c r="H15" s="62"/>
    </x:row>
    <x:row r="16" ht="38" customHeight="1">
      <x:c r="A16" s="61" t="str">
        <x:v>OFFICIAL_DATA</x:v>
      </x:c>
      <x:c r="B16" s="62" t="str">
        <x:v>inputs/official_data.zip</x:v>
      </x:c>
      <x:c r="C16" s="62" t="str">
        <x:v>SHA-256 c3809aca73396f57242ded0188fa06a3d271bd4ad65010e53d5533efc7c18163</x:v>
      </x:c>
      <x:c r="D16" s="62"/>
      <x:c r="E16" s="62"/>
      <x:c r="F16" s="62"/>
      <x:c r="G16" s="62"/>
      <x:c r="H16" s="62"/>
    </x:row>
    <x:row r="17" ht="38" customHeight="1">
      <x:c r="A17" s="61" t="str">
        <x:v>OFFICIAL_TEAM_EMAIL</x:v>
      </x:c>
      <x:c r="B17" s="62" t="str">
        <x:v>inputs/team_email_raw.txt</x:v>
      </x:c>
      <x:c r="C17" s="62" t="str">
        <x:v>2026-08-06 13:00-14:30 · Naver Green Factory CONNECT HALL · one person/team · no parking</x:v>
      </x:c>
      <x:c r="D17" s="62"/>
      <x:c r="E17" s="62"/>
      <x:c r="F17" s="62"/>
      <x:c r="G17" s="62"/>
      <x:c r="H17" s="62"/>
    </x:row>
    <x:row r="18" ht="38" customHeight="1">
      <x:c r="A18" s="63" t="str">
        <x:v>OFFICIAL_WEB</x:v>
      </x:c>
      <x:c r="B18" s="64" t="str">
        <x:v>https://miraeassetfesta.com/notice</x:v>
      </x:c>
      <x:c r="C18" s="64" t="str">
        <x:v>홈페이지·FAQ는 보충 근거; 첨부 PDF/ZIP의 최신 구체 조건 우선</x:v>
      </x:c>
      <x:c r="D18" s="64"/>
      <x:c r="E18" s="64"/>
      <x:c r="F18" s="64"/>
      <x:c r="G18" s="64"/>
      <x:c r="H18" s="64"/>
    </x:row>
    <x:row r="20">
      <x:c r="A20" s="65" t="str">
        <x:v>Key conclusions and next actions | 핵심 결론과 사용 순서</x:v>
      </x:c>
      <x:c r="B20" s="65"/>
      <x:c r="C20" s="65"/>
      <x:c r="D20" s="65"/>
      <x:c r="E20" s="65"/>
      <x:c r="F20" s="65"/>
      <x:c r="G20" s="65"/>
      <x:c r="H20" s="65"/>
    </x:row>
    <x:row r="21" ht="58" customHeight="1">
      <x:c r="A21" s="70" t="str">
        <x:v>1</x:v>
      </x:c>
      <x:c r="B21" s="59" t="str">
        <x:v>Official PDF</x:v>
      </x:c>
      <x:c r="C21" s="60" t="str">
        <x:v>Lookup, search, filter, compare, aggregate, evidence, and clarification. No forecast, fabricated fact, or definitive recommendation. Runtime LLM: HyperCLOVA X only.</x:v>
      </x:c>
      <x:c r="D21" s="60"/>
      <x:c r="E21" s="60"/>
      <x:c r="F21" s="60"/>
      <x:c r="G21" s="60"/>
      <x:c r="H21" s="60"/>
    </x:row>
    <x:row r="22" ht="58" customHeight="1">
      <x:c r="A22" s="71" t="str">
        <x:v>2</x:v>
      </x:c>
      <x:c r="B22" s="61" t="str">
        <x:v>Data model</x:v>
      </x:c>
      <x:c r="C22" s="62" t="str">
        <x:v>145,393 raw rows are not 60,913 products. Fund source rows represent product x attribute.</x:v>
      </x:c>
      <x:c r="D22" s="62"/>
      <x:c r="E22" s="62"/>
      <x:c r="F22" s="62"/>
      <x:c r="G22" s="62"/>
      <x:c r="H22" s="62"/>
    </x:row>
    <x:row r="23" ht="58" customHeight="1">
      <x:c r="A23" s="71" t="str">
        <x:v>3</x:v>
      </x:c>
      <x:c r="B23" s="61" t="str">
        <x:v>Current MVP</x:v>
      </x:c>
      <x:c r="C23" s="62" t="str">
        <x:v>Natural language → typed QueryPlan → allow-listed DuckDB → field evidence → grounded response → provisional five-field API works E2E.</x:v>
      </x:c>
      <x:c r="D23" s="62"/>
      <x:c r="E23" s="62"/>
      <x:c r="F23" s="62"/>
      <x:c r="G23" s="62"/>
      <x:c r="H23" s="62"/>
    </x:row>
    <x:row r="24" ht="58" customHeight="1">
      <x:c r="A24" s="71" t="str">
        <x:v>4</x:v>
      </x:c>
      <x:c r="B24" s="61" t="str">
        <x:v>Clarification</x:v>
      </x:c>
      <x:c r="C24" s="62" t="str">
        <x:v>Ask before execution when market, return period, product identity, comparison metric, or ranking priority is ambiguous.</x:v>
      </x:c>
      <x:c r="D24" s="62"/>
      <x:c r="E24" s="62"/>
      <x:c r="F24" s="62"/>
      <x:c r="G24" s="62"/>
      <x:c r="H24" s="62"/>
    </x:row>
    <x:row r="25" ht="58" customHeight="1">
      <x:c r="A25" s="71" t="str">
        <x:v>5</x:v>
      </x:c>
      <x:c r="B25" s="61" t="str">
        <x:v>Fail closed</x:v>
      </x:c>
      <x:c r="C25" s="62" t="str">
        <x:v>Block rank or comparison when date basis, zero meaning, unit, or currency is unresolved; return INCOMPARABLE or UNAVAILABLE.</x:v>
      </x:c>
      <x:c r="D25" s="62"/>
      <x:c r="E25" s="62"/>
      <x:c r="F25" s="62"/>
      <x:c r="G25" s="62"/>
      <x:c r="H25" s="62"/>
    </x:row>
    <x:row r="26" ht="58" customHeight="1">
      <x:c r="A26" s="71" t="str">
        <x:v>6</x:v>
      </x:c>
      <x:c r="B26" s="61" t="str">
        <x:v>External gates</x:v>
      </x:c>
      <x:c r="C26" s="62" t="str">
        <x:v>Product-source explain works. Docker fresh build/restart, live-key HCX, public TLS, and final Git/image digests require the external environment.</x:v>
      </x:c>
      <x:c r="D26" s="62"/>
      <x:c r="E26" s="62"/>
      <x:c r="F26" s="62"/>
      <x:c r="G26" s="62"/>
      <x:c r="H26" s="62"/>
    </x:row>
    <x:row r="27" ht="58" customHeight="1">
      <x:c r="A27" s="72" t="str">
        <x:v>7</x:v>
      </x:c>
      <x:c r="B27" s="63" t="str">
        <x:v>Next action</x:v>
      </x:c>
      <x:c r="C27" s="64" t="str">
        <x:v>After the Aug 6 briefing, diff confirmed answers into Requirements, Metric Policy, Gold tests, and OpenAPI; rerun every gate.</x:v>
      </x:c>
      <x:c r="D27" s="64"/>
      <x:c r="E27" s="64"/>
      <x:c r="F27" s="64"/>
      <x:c r="G27" s="64"/>
      <x:c r="H27" s="64"/>
    </x:row>
  </x:sheetData>
  <x:mergeCells>
    <x:mergeCell ref="A1:H2"/>
    <x:mergeCell ref="A3:H3"/>
    <x:mergeCell ref="A13:H13"/>
    <x:mergeCell ref="A20:H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18" hidden="0" customWidth="1"/>
    <x:col min="4" max="4" width="14" hidden="0" customWidth="1"/>
    <x:col min="5" max="5" width="10" hidden="0" customWidth="1"/>
    <x:col min="6" max="6" width="16" hidden="0" customWidth="1"/>
    <x:col min="7" max="7" width="16" hidden="0" customWidth="1"/>
    <x:col min="8" max="8" width="15" hidden="0" customWidth="1"/>
    <x:col min="9" max="9" width="20" hidden="0" customWidth="1"/>
    <x:col min="10" max="10" width="48" hidden="0" customWidth="1"/>
  </x:cols>
  <x:sheetData>
    <x:row r="1" ht="34" customHeight="1">
      <x:c r="A1" s="12" t="str">
        <x:v>dataset_id</x:v>
      </x:c>
      <x:c r="B1" s="13" t="str">
        <x:v>product_group</x:v>
      </x:c>
      <x:c r="C1" s="13" t="str">
        <x:v>raw_role</x:v>
      </x:c>
      <x:c r="D1" s="13" t="str">
        <x:v>raw_rows</x:v>
      </x:c>
      <x:c r="E1" s="13" t="str">
        <x:v>columns</x:v>
      </x:c>
      <x:c r="F1" s="13" t="str">
        <x:v>logical_products</x:v>
      </x:c>
      <x:c r="G1" s="13" t="str">
        <x:v>serving_products</x:v>
      </x:c>
      <x:c r="H1" s="13" t="str">
        <x:v>quarantine_rows</x:v>
      </x:c>
      <x:c r="I1" s="13" t="str">
        <x:v>serving_attribute_rows</x:v>
      </x:c>
      <x:c r="J1" s="14" t="str">
        <x:v>key_caution</x:v>
      </x:c>
    </x:row>
    <x:row r="2" ht="32" customHeight="1">
      <x:c r="A2" s="20" t="str">
        <x:v>PRBD01N001</x:v>
      </x:c>
      <x:c r="B2" s="20" t="str">
        <x:v>Domestic bond | 국내채권</x:v>
      </x:c>
      <x:c r="C2" s="20" t="str">
        <x:v>one row = product | 1행=1상품</x:v>
      </x:c>
      <x:c r="D2" s="25" t="n">
        <x:v>42394</x:v>
      </x:c>
      <x:c r="E2" s="25" t="n">
        <x:v>40</x:v>
      </x:c>
      <x:c r="F2" s="25" t="n">
        <x:v>42394</x:v>
      </x:c>
      <x:c r="G2" s="25" t="n">
        <x:v>42394</x:v>
      </x:c>
      <x:c r="H2" s="25" t="n">
        <x:v>0</x:v>
      </x:c>
      <x:c r="I2" s="25" t="n">
        <x:v>42394</x:v>
      </x:c>
      <x:c r="J2" s="20" t="str">
        <x:v>PD_NO is unique | PD_NO 고유</x:v>
      </x:c>
    </x:row>
    <x:row r="3" ht="32" customHeight="1">
      <x:c r="A3" s="21" t="str">
        <x:v>PREF01N001</x:v>
      </x:c>
      <x:c r="B3" s="21" t="str">
        <x:v>Domestic ETP | 국내 ETP</x:v>
      </x:c>
      <x:c r="C3" s="21" t="str">
        <x:v>one row = product | 1행=1상품</x:v>
      </x:c>
      <x:c r="D3" s="26" t="n">
        <x:v>1734</x:v>
      </x:c>
      <x:c r="E3" s="26" t="n">
        <x:v>73</x:v>
      </x:c>
      <x:c r="F3" s="26" t="n">
        <x:v>1734</x:v>
      </x:c>
      <x:c r="G3" s="26" t="n">
        <x:v>1733</x:v>
      </x:c>
      <x:c r="H3" s="26" t="n">
        <x:v>1</x:v>
      </x:c>
      <x:c r="I3" s="26" t="n">
        <x:v>1733</x:v>
      </x:c>
      <x:c r="J3" s="21" t="str">
        <x:v>quarantine one placeholder row | placeholder 1행 격리</x:v>
      </x:c>
    </x:row>
    <x:row r="4" ht="32" customHeight="1">
      <x:c r="A4" s="21" t="str">
        <x:v>PREF02N001</x:v>
      </x:c>
      <x:c r="B4" s="21" t="str">
        <x:v>Overseas ETP | 해외 ETP</x:v>
      </x:c>
      <x:c r="C4" s="21" t="str">
        <x:v>one row = product | 1행=1상품</x:v>
      </x:c>
      <x:c r="D4" s="26" t="n">
        <x:v>5646</x:v>
      </x:c>
      <x:c r="E4" s="26" t="n">
        <x:v>49</x:v>
      </x:c>
      <x:c r="F4" s="26" t="n">
        <x:v>5646</x:v>
      </x:c>
      <x:c r="G4" s="26" t="n">
        <x:v>5638</x:v>
      </x:c>
      <x:c r="H4" s="26" t="n">
        <x:v>8</x:v>
      </x:c>
      <x:c r="I4" s="26" t="n">
        <x:v>5638</x:v>
      </x:c>
      <x:c r="J4" s="21" t="str">
        <x:v>ISIN duplicates 50, missing 9; ticker/internal code first</x:v>
      </x:c>
    </x:row>
    <x:row r="5" ht="32" customHeight="1">
      <x:c r="A5" s="21" t="str">
        <x:v>PRFD01N001</x:v>
      </x:c>
      <x:c r="B5" s="21" t="str">
        <x:v>Public fund source | 공모펀드</x:v>
      </x:c>
      <x:c r="C5" s="21" t="str">
        <x:v>product x attribute | 상품×속성</x:v>
      </x:c>
      <x:c r="D5" s="26" t="n">
        <x:v>95619</x:v>
      </x:c>
      <x:c r="E5" s="26" t="n">
        <x:v>45</x:v>
      </x:c>
      <x:c r="F5" s="26" t="n">
        <x:v>11139</x:v>
      </x:c>
      <x:c r="G5" s="26" t="n">
        <x:v>11138</x:v>
      </x:c>
      <x:c r="H5" s="26" t="n">
        <x:v>1</x:v>
      </x:c>
      <x:c r="I5" s="26" t="n">
        <x:v>95618</x:v>
      </x:c>
      <x:c r="J5" s="21" t="str">
        <x:v>dedupe product by itm_no; preserve attribute rows</x:v>
      </x:c>
    </x:row>
    <x:row r="6" ht="32" customHeight="1">
      <x:c r="A6" s="24" t="str">
        <x:v>TOTAL</x:v>
      </x:c>
      <x:c r="B6" s="24" t="str">
        <x:v>All | 전체</x:v>
      </x:c>
      <x:c r="C6" s="24" t="str">
        <x:v>mixed | 혼합</x:v>
      </x:c>
      <x:c r="D6" s="27" t="n">
        <x:f>SUM(D2:D5)</x:f>
        <x:v>145393</x:v>
      </x:c>
      <x:c r="E6" s="27"/>
      <x:c r="F6" s="27" t="n">
        <x:f>SUM(F2:F5)</x:f>
        <x:v>60913</x:v>
      </x:c>
      <x:c r="G6" s="27" t="n">
        <x:f>SUM(G2:G5)</x:f>
        <x:v>60903</x:v>
      </x:c>
      <x:c r="H6" s="27" t="n">
        <x:f>SUM(H2:H5)</x:f>
        <x:v>10</x:v>
      </x:c>
      <x:c r="I6" s="27" t="n">
        <x:f>SUM(I2:I5)</x:f>
        <x:v>145383</x:v>
      </x:c>
      <x:c r="J6" s="24" t="str">
        <x:v>never confuse raw rows with product count</x:v>
      </x:c>
    </x:row>
  </x:sheetData>
  <x:pageMargins left="0.7" right="0.7" top="0.75" bottom="0.75" header="0.3" footer="0.3"/>
  <x:tableParts count="1">
    <x:tablePart xmlns:r="http://schemas.openxmlformats.org/officeDocument/2006/relationships" r:id="Rcec56cc9ff7a423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38" hidden="0" customWidth="1"/>
    <x:col min="3" max="3" width="15" hidden="0" customWidth="1"/>
    <x:col min="4" max="4" width="20" hidden="0" customWidth="1"/>
    <x:col min="5" max="5" width="18" hidden="0" customWidth="1"/>
    <x:col min="6" max="6" width="20" hidden="0" customWidth="1"/>
    <x:col min="7" max="7" width="20" hidden="0" customWidth="1"/>
    <x:col min="8" max="8" width="22" hidden="0" customWidth="1"/>
  </x:cols>
  <x:sheetData>
    <x:row r="1" ht="34" customHeight="1">
      <x:c r="A1" s="12" t="str">
        <x:v>﻿dataset_id</x:v>
      </x:c>
      <x:c r="B1" s="13" t="str">
        <x:v>key_columns</x:v>
      </x:c>
      <x:c r="C1" s="13" t="str">
        <x:v>row_count</x:v>
      </x:c>
      <x:c r="D1" s="13" t="str">
        <x:v>nonblank_key_count</x:v>
      </x:c>
      <x:c r="E1" s="13" t="str">
        <x:v>missing_key_count</x:v>
      </x:c>
      <x:c r="F1" s="13" t="str">
        <x:v>distinct_key_count</x:v>
      </x:c>
      <x:c r="G1" s="13" t="str">
        <x:v>duplicate_key_rows</x:v>
      </x:c>
      <x:c r="H1" s="14" t="str">
        <x:v>is_unique_when_present</x:v>
      </x:c>
    </x:row>
    <x:row r="2">
      <x:c r="A2" s="20" t="str">
        <x:v>PRBD01N001</x:v>
      </x:c>
      <x:c r="B2" s="20" t="str">
        <x:v>PD_NO</x:v>
      </x:c>
      <x:c r="C2" s="25" t="str">
        <x:v>42394</x:v>
      </x:c>
      <x:c r="D2" s="25" t="str">
        <x:v>42394</x:v>
      </x:c>
      <x:c r="E2" s="25" t="str">
        <x:v>0</x:v>
      </x:c>
      <x:c r="F2" s="25" t="str">
        <x:v>42394</x:v>
      </x:c>
      <x:c r="G2" s="25" t="str">
        <x:v>0</x:v>
      </x:c>
      <x:c r="H2" s="20" t="str">
        <x:v>True</x:v>
      </x:c>
    </x:row>
    <x:row r="3">
      <x:c r="A3" s="21" t="str">
        <x:v>PREF01N001</x:v>
      </x:c>
      <x:c r="B3" s="21" t="str">
        <x:v>pd_itm_no</x:v>
      </x:c>
      <x:c r="C3" s="26" t="str">
        <x:v>1734</x:v>
      </x:c>
      <x:c r="D3" s="26" t="str">
        <x:v>1734</x:v>
      </x:c>
      <x:c r="E3" s="26" t="str">
        <x:v>0</x:v>
      </x:c>
      <x:c r="F3" s="26" t="str">
        <x:v>1734</x:v>
      </x:c>
      <x:c r="G3" s="26" t="str">
        <x:v>0</x:v>
      </x:c>
      <x:c r="H3" s="21" t="str">
        <x:v>True</x:v>
      </x:c>
    </x:row>
    <x:row r="4">
      <x:c r="A4" s="21" t="str">
        <x:v>PREF01N001</x:v>
      </x:c>
      <x:c r="B4" s="21" t="str">
        <x:v>pd_itm_no_ma</x:v>
      </x:c>
      <x:c r="C4" s="26" t="str">
        <x:v>1734</x:v>
      </x:c>
      <x:c r="D4" s="26" t="str">
        <x:v>1734</x:v>
      </x:c>
      <x:c r="E4" s="26" t="str">
        <x:v>0</x:v>
      </x:c>
      <x:c r="F4" s="26" t="str">
        <x:v>1734</x:v>
      </x:c>
      <x:c r="G4" s="26" t="str">
        <x:v>0</x:v>
      </x:c>
      <x:c r="H4" s="21" t="str">
        <x:v>True</x:v>
      </x:c>
    </x:row>
    <x:row r="5">
      <x:c r="A5" s="21" t="str">
        <x:v>PREF01N001</x:v>
      </x:c>
      <x:c r="B5" s="21" t="str">
        <x:v>pd_exg_mkt_cd+pd_itm_no+pd_itm_no_ma</x:v>
      </x:c>
      <x:c r="C5" s="26" t="str">
        <x:v>1734</x:v>
      </x:c>
      <x:c r="D5" s="26" t="str">
        <x:v>1733</x:v>
      </x:c>
      <x:c r="E5" s="26" t="str">
        <x:v>1</x:v>
      </x:c>
      <x:c r="F5" s="26" t="str">
        <x:v>1733</x:v>
      </x:c>
      <x:c r="G5" s="26" t="str">
        <x:v>0</x:v>
      </x:c>
      <x:c r="H5" s="21" t="str">
        <x:v>True</x:v>
      </x:c>
    </x:row>
    <x:row r="6">
      <x:c r="A6" s="21" t="str">
        <x:v>PREF02N001</x:v>
      </x:c>
      <x:c r="B6" s="21" t="str">
        <x:v>pd_itm_no</x:v>
      </x:c>
      <x:c r="C6" s="26" t="str">
        <x:v>5646</x:v>
      </x:c>
      <x:c r="D6" s="26" t="str">
        <x:v>5646</x:v>
      </x:c>
      <x:c r="E6" s="26" t="str">
        <x:v>0</x:v>
      </x:c>
      <x:c r="F6" s="26" t="str">
        <x:v>5646</x:v>
      </x:c>
      <x:c r="G6" s="26" t="str">
        <x:v>0</x:v>
      </x:c>
      <x:c r="H6" s="21" t="str">
        <x:v>True</x:v>
      </x:c>
    </x:row>
    <x:row r="7">
      <x:c r="A7" s="21" t="str">
        <x:v>PREF02N001</x:v>
      </x:c>
      <x:c r="B7" s="21" t="str">
        <x:v>pd_itm_no_ma</x:v>
      </x:c>
      <x:c r="C7" s="26" t="str">
        <x:v>5646</x:v>
      </x:c>
      <x:c r="D7" s="26" t="str">
        <x:v>5646</x:v>
      </x:c>
      <x:c r="E7" s="26" t="str">
        <x:v>0</x:v>
      </x:c>
      <x:c r="F7" s="26" t="str">
        <x:v>5646</x:v>
      </x:c>
      <x:c r="G7" s="26" t="str">
        <x:v>0</x:v>
      </x:c>
      <x:c r="H7" s="21" t="str">
        <x:v>True</x:v>
      </x:c>
    </x:row>
    <x:row r="8">
      <x:c r="A8" s="21" t="str">
        <x:v>PREF02N001</x:v>
      </x:c>
      <x:c r="B8" s="21" t="str">
        <x:v>pd_isin_cd</x:v>
      </x:c>
      <x:c r="C8" s="26" t="str">
        <x:v>5646</x:v>
      </x:c>
      <x:c r="D8" s="26" t="str">
        <x:v>5637</x:v>
      </x:c>
      <x:c r="E8" s="26" t="str">
        <x:v>9</x:v>
      </x:c>
      <x:c r="F8" s="26" t="str">
        <x:v>5587</x:v>
      </x:c>
      <x:c r="G8" s="26" t="str">
        <x:v>50</x:v>
      </x:c>
      <x:c r="H8" s="21" t="str">
        <x:v>False</x:v>
      </x:c>
    </x:row>
    <x:row r="9">
      <x:c r="A9" s="21" t="str">
        <x:v>PRFD01N001</x:v>
      </x:c>
      <x:c r="B9" s="21" t="str">
        <x:v>itm_no</x:v>
      </x:c>
      <x:c r="C9" s="26" t="str">
        <x:v>95619</x:v>
      </x:c>
      <x:c r="D9" s="26" t="str">
        <x:v>95619</x:v>
      </x:c>
      <x:c r="E9" s="26" t="str">
        <x:v>0</x:v>
      </x:c>
      <x:c r="F9" s="26" t="str">
        <x:v>11139</x:v>
      </x:c>
      <x:c r="G9" s="26" t="str">
        <x:v>84480</x:v>
      </x:c>
      <x:c r="H9" s="21" t="str">
        <x:v>False</x:v>
      </x:c>
    </x:row>
    <x:row r="10">
      <x:c r="A10" s="21" t="str">
        <x:v>PRFD01N001</x:v>
      </x:c>
      <x:c r="B10" s="21" t="str">
        <x:v>itm_no+prfd_attr_cd</x:v>
      </x:c>
      <x:c r="C10" s="26" t="str">
        <x:v>95619</x:v>
      </x:c>
      <x:c r="D10" s="26" t="str">
        <x:v>95619</x:v>
      </x:c>
      <x:c r="E10" s="26" t="str">
        <x:v>0</x:v>
      </x:c>
      <x:c r="F10" s="26" t="str">
        <x:v>95619</x:v>
      </x:c>
      <x:c r="G10" s="26" t="str">
        <x:v>0</x:v>
      </x:c>
      <x:c r="H10" s="21" t="str">
        <x:v>True</x:v>
      </x:c>
    </x:row>
    <x:row r="11">
      <x:c r="A11" s="21" t="str">
        <x:v>PRFD01N001</x:v>
      </x:c>
      <x:c r="B11" s="21" t="str">
        <x:v>std_itm_no</x:v>
      </x:c>
      <x:c r="C11" s="26" t="str">
        <x:v>95619</x:v>
      </x:c>
      <x:c r="D11" s="26" t="str">
        <x:v>95553</x:v>
      </x:c>
      <x:c r="E11" s="26" t="str">
        <x:v>66</x:v>
      </x:c>
      <x:c r="F11" s="26" t="str">
        <x:v>11127</x:v>
      </x:c>
      <x:c r="G11" s="26" t="str">
        <x:v>84426</x:v>
      </x:c>
      <x:c r="H11" s="21" t="str">
        <x:v>False</x:v>
      </x:c>
    </x:row>
    <x:row r="12">
      <x:c r="A12" s="21" t="str">
        <x:v>PRFD01N001</x:v>
      </x:c>
      <x:c r="B12" s="21" t="str">
        <x:v>ksd_itm_no</x:v>
      </x:c>
      <x:c r="C12" s="26" t="str">
        <x:v>95619</x:v>
      </x:c>
      <x:c r="D12" s="26" t="str">
        <x:v>95353</x:v>
      </x:c>
      <x:c r="E12" s="26" t="str">
        <x:v>266</x:v>
      </x:c>
      <x:c r="F12" s="26" t="str">
        <x:v>11092</x:v>
      </x:c>
      <x:c r="G12" s="26" t="str">
        <x:v>84261</x:v>
      </x:c>
      <x:c r="H12" s="21" t="str">
        <x:v>False</x:v>
      </x:c>
    </x:row>
  </x:sheetData>
  <x:conditionalFormatting sqref="E2:E12">
    <x:cfRule type="cellIs" dxfId="0" priority="1" operator="greaterThan">
      <x:formula>0</x:formula>
    </x:cfRule>
  </x:conditionalFormatting>
  <x:conditionalFormatting sqref="G2:G12">
    <x:cfRule type="cellIs" dxfId="1" priority="2" operator="greaterThan">
      <x:formula>0</x:formula>
    </x:cfRule>
  </x:conditionalFormatting>
  <x:pageMargins left="0.7" right="0.7" top="0.75" bottom="0.75" header="0.3" footer="0.3"/>
  <x:tableParts count="1">
    <x:tablePart xmlns:r="http://schemas.openxmlformats.org/officeDocument/2006/relationships" r:id="Rcdd321b3cafc407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7" hidden="0" customWidth="1"/>
    <x:col min="2" max="2" width="28" hidden="0" customWidth="1"/>
    <x:col min="3" max="3" width="16" hidden="0" customWidth="1"/>
    <x:col min="4" max="4" width="28" hidden="0" customWidth="1"/>
    <x:col min="5" max="5" width="26" hidden="0" customWidth="1"/>
    <x:col min="6" max="6" width="13" hidden="0" customWidth="1"/>
    <x:col min="7" max="7" width="16" hidden="0" customWidth="1"/>
    <x:col min="8" max="8" width="14" hidden="0" customWidth="1"/>
    <x:col min="9" max="9" width="14" hidden="0" customWidth="1"/>
    <x:col min="10" max="10" width="19" hidden="0" customWidth="1"/>
    <x:col min="11" max="11" width="18" hidden="0" customWidth="1"/>
    <x:col min="12" max="12" width="21" hidden="0" customWidth="1"/>
    <x:col min="13" max="13" width="13" hidden="0" customWidth="1"/>
    <x:col min="14" max="14" width="15" hidden="0" customWidth="1"/>
    <x:col min="15" max="15" width="14" hidden="0" customWidth="1"/>
    <x:col min="16" max="16" width="16" hidden="0" customWidth="1"/>
    <x:col min="17" max="17" width="16" hidden="0" customWidth="1"/>
    <x:col min="18" max="18" width="16" hidden="0" customWidth="1"/>
    <x:col min="19" max="19" width="16" hidden="0" customWidth="1"/>
    <x:col min="20" max="20" width="52" hidden="0" customWidth="1"/>
    <x:col min="21" max="21" width="62" hidden="0" customWidth="1"/>
  </x:cols>
  <x:sheetData>
    <x:row r="1" ht="34" customHeight="1">
      <x:c r="A1" s="12" t="str">
        <x:v>﻿dataset_id</x:v>
      </x:c>
      <x:c r="B1" s="13" t="str">
        <x:v>column_name</x:v>
      </x:c>
      <x:c r="C1" s="13" t="str">
        <x:v>schema_type</x:v>
      </x:c>
      <x:c r="D1" s="13" t="str">
        <x:v>column_name_ko</x:v>
      </x:c>
      <x:c r="E1" s="13" t="str">
        <x:v>schema_example</x:v>
      </x:c>
      <x:c r="F1" s="13" t="str">
        <x:v>total_rows</x:v>
      </x:c>
      <x:c r="G1" s="13" t="str">
        <x:v>nonblank_count</x:v>
      </x:c>
      <x:c r="H1" s="13" t="str">
        <x:v>coverage_ratio</x:v>
      </x:c>
      <x:c r="I1" s="13" t="str">
        <x:v>blank_count</x:v>
      </x:c>
      <x:c r="J1" s="13" t="str">
        <x:v>whitespace_only_count</x:v>
      </x:c>
      <x:c r="K1" s="13" t="str">
        <x:v>sentinel_null_count</x:v>
      </x:c>
      <x:c r="L1" s="13" t="str">
        <x:v>numeric_parseable_count</x:v>
      </x:c>
      <x:c r="M1" s="13" t="str">
        <x:v>zero_count</x:v>
      </x:c>
      <x:c r="N1" s="13" t="str">
        <x:v>negative_count</x:v>
      </x:c>
      <x:c r="O1" s="13" t="str">
        <x:v>unique_count</x:v>
      </x:c>
      <x:c r="P1" s="13" t="str">
        <x:v>numeric_min</x:v>
      </x:c>
      <x:c r="Q1" s="13" t="str">
        <x:v>numeric_max</x:v>
      </x:c>
      <x:c r="R1" s="13" t="str">
        <x:v>date_like_min</x:v>
      </x:c>
      <x:c r="S1" s="13" t="str">
        <x:v>date_like_max</x:v>
      </x:c>
      <x:c r="T1" s="13" t="str">
        <x:v>sample_values</x:v>
      </x:c>
      <x:c r="U1" s="14" t="str">
        <x:v>top_values</x:v>
      </x:c>
    </x:row>
    <x:row r="2">
      <x:c r="A2" s="20" t="str">
        <x:v>PRBD01N001</x:v>
      </x:c>
      <x:c r="B2" s="20" t="str">
        <x:v>PD_NO</x:v>
      </x:c>
      <x:c r="C2" s="20" t="str">
        <x:v>text</x:v>
      </x:c>
      <x:c r="D2" s="20" t="str"/>
      <x:c r="E2" s="20" t="str"/>
      <x:c r="F2" s="28" t="str">
        <x:v>42394</x:v>
      </x:c>
      <x:c r="G2" s="28" t="str">
        <x:v>42394</x:v>
      </x:c>
      <x:c r="H2" s="30" t="str">
        <x:v>1.0</x:v>
      </x:c>
      <x:c r="I2" s="28" t="str">
        <x:v>0</x:v>
      </x:c>
      <x:c r="J2" s="28" t="str">
        <x:v>0</x:v>
      </x:c>
      <x:c r="K2" s="28" t="str">
        <x:v>0</x:v>
      </x:c>
      <x:c r="L2" s="28" t="str">
        <x:v>0</x:v>
      </x:c>
      <x:c r="M2" s="28" t="str">
        <x:v>0</x:v>
      </x:c>
      <x:c r="N2" s="28" t="str">
        <x:v>0</x:v>
      </x:c>
      <x:c r="O2" s="28" t="str">
        <x:v>&gt;10000</x:v>
      </x:c>
      <x:c r="P2" s="28" t="str"/>
      <x:c r="Q2" s="28" t="str"/>
      <x:c r="R2" s="20" t="str"/>
      <x:c r="S2" s="20" t="str"/>
      <x:c r="T2" s="20" t="str">
        <x:v>["KR101501DA16", "KR101501DA24", "KR101501DA32"]</x:v>
      </x:c>
      <x:c r="U2" s="20" t="str">
        <x:v>[["KR101501DA16", 1], ["KR101501DA24", 1], ["KR101501DA32", 1], ["KR101501DA40", 1], ["KR101501DA57", 1], ["KR101501DA65", 1], ["KR101501DA73", 1], ["KR101501DA81", 1], ["KR101501DA99", 1], ["KR101501DAA7", 1]]</x:v>
      </x:c>
    </x:row>
    <x:row r="3">
      <x:c r="A3" s="21" t="str">
        <x:v>PRBD01N001</x:v>
      </x:c>
      <x:c r="B3" s="21" t="str">
        <x:v>PD_EXG_MKT</x:v>
      </x:c>
      <x:c r="C3" s="21" t="str">
        <x:v>text</x:v>
      </x:c>
      <x:c r="D3" s="21" t="str"/>
      <x:c r="E3" s="21" t="str"/>
      <x:c r="F3" s="29" t="str">
        <x:v>42394</x:v>
      </x:c>
      <x:c r="G3" s="29" t="str">
        <x:v>42394</x:v>
      </x:c>
      <x:c r="H3" s="31" t="str">
        <x:v>1.0</x:v>
      </x:c>
      <x:c r="I3" s="29" t="str">
        <x:v>0</x:v>
      </x:c>
      <x:c r="J3" s="29" t="str">
        <x:v>0</x:v>
      </x:c>
      <x:c r="K3" s="29" t="str">
        <x:v>0</x:v>
      </x:c>
      <x:c r="L3" s="29" t="str">
        <x:v>0</x:v>
      </x:c>
      <x:c r="M3" s="29" t="str">
        <x:v>0</x:v>
      </x:c>
      <x:c r="N3" s="29" t="str">
        <x:v>0</x:v>
      </x:c>
      <x:c r="O3" s="29" t="str">
        <x:v>2</x:v>
      </x:c>
      <x:c r="P3" s="29" t="str"/>
      <x:c r="Q3" s="29" t="str"/>
      <x:c r="R3" s="21" t="str"/>
      <x:c r="S3" s="21" t="str"/>
      <x:c r="T3" s="21" t="str">
        <x:v>["장내", "장외"]</x:v>
      </x:c>
      <x:c r="U3" s="21" t="str">
        <x:v>[["장내", 24749], ["장외", 17645]]</x:v>
      </x:c>
    </x:row>
    <x:row r="4">
      <x:c r="A4" s="21" t="str">
        <x:v>PRBD01N001</x:v>
      </x:c>
      <x:c r="B4" s="21" t="str">
        <x:v>PD_NM</x:v>
      </x:c>
      <x:c r="C4" s="21" t="str">
        <x:v>text</x:v>
      </x:c>
      <x:c r="D4" s="21" t="str"/>
      <x:c r="E4" s="21" t="str"/>
      <x:c r="F4" s="29" t="str">
        <x:v>42394</x:v>
      </x:c>
      <x:c r="G4" s="29" t="str">
        <x:v>42394</x:v>
      </x:c>
      <x:c r="H4" s="31" t="str">
        <x:v>1.0</x:v>
      </x:c>
      <x:c r="I4" s="29" t="str">
        <x:v>0</x:v>
      </x:c>
      <x:c r="J4" s="29" t="str">
        <x:v>0</x:v>
      </x:c>
      <x:c r="K4" s="29" t="str">
        <x:v>0</x:v>
      </x:c>
      <x:c r="L4" s="29" t="str">
        <x:v>0</x:v>
      </x:c>
      <x:c r="M4" s="29" t="str">
        <x:v>0</x:v>
      </x:c>
      <x:c r="N4" s="29" t="str">
        <x:v>0</x:v>
      </x:c>
      <x:c r="O4" s="29" t="str">
        <x:v>&gt;10000</x:v>
      </x:c>
      <x:c r="P4" s="29" t="str"/>
      <x:c r="Q4" s="29" t="str"/>
      <x:c r="R4" s="21" t="str"/>
      <x:c r="S4" s="21" t="str"/>
      <x:c r="T4" s="21" t="str">
        <x:v>["국민주택1종채권 20-01", "국민주택1종채권 20-02", "국민주택1종채권 20-03"]</x:v>
      </x:c>
      <x:c r="U4" s="21" t="str">
        <x:v>[["국민주택2종 2016-05", 2], ["국민주택1종채권 20-01", 1], ["국민주택1종채권 20-02", 1], ["국민주택1종채권 20-03", 1], ["국민주택1종채권 20-04", 1], ["국민주택1종채권 20-05", 1], ["국민주택1종채권 20-06", 1], ["국민주택1종채권 20-07", 1], ["국민주택1종채권 20-08", 1], ["국민주택1종채권 20-09", 1]]</x:v>
      </x:c>
    </x:row>
    <x:row r="5">
      <x:c r="A5" s="21" t="str">
        <x:v>PRBD01N001</x:v>
      </x:c>
      <x:c r="B5" s="21" t="str">
        <x:v>PD_ABRV_NM</x:v>
      </x:c>
      <x:c r="C5" s="21" t="str">
        <x:v>text</x:v>
      </x:c>
      <x:c r="D5" s="21" t="str"/>
      <x:c r="E5" s="21" t="str"/>
      <x:c r="F5" s="29" t="str">
        <x:v>42394</x:v>
      </x:c>
      <x:c r="G5" s="29" t="str">
        <x:v>42029</x:v>
      </x:c>
      <x:c r="H5" s="31" t="str">
        <x:v>0.99139</x:v>
      </x:c>
      <x:c r="I5" s="29" t="str">
        <x:v>365</x:v>
      </x:c>
      <x:c r="J5" s="29" t="str">
        <x:v>296</x:v>
      </x:c>
      <x:c r="K5" s="29" t="str">
        <x:v>0</x:v>
      </x:c>
      <x:c r="L5" s="29" t="str">
        <x:v>0</x:v>
      </x:c>
      <x:c r="M5" s="29" t="str">
        <x:v>0</x:v>
      </x:c>
      <x:c r="N5" s="29" t="str">
        <x:v>0</x:v>
      </x:c>
      <x:c r="O5" s="29" t="str">
        <x:v>&gt;10000</x:v>
      </x:c>
      <x:c r="P5" s="29" t="str"/>
      <x:c r="Q5" s="29" t="str"/>
      <x:c r="R5" s="21" t="str"/>
      <x:c r="S5" s="21" t="str"/>
      <x:c r="T5" s="21" t="str">
        <x:v>["국민주택1종20-01                        ", "국민주택1종20-02                        ", "국민주택1종20-03                        "]</x:v>
      </x:c>
      <x:c r="U5" s="21" t="str">
        <x:v>[["국민주택2종16-05", 2], ["국민주택1종20-01", 1], ["국민주택1종20-02", 1], ["국민주택1종20-03", 1], ["국민주택1종20-04", 1], ["국민주택1종20-05", 1], ["국민주택1종20-06", 1], ["국민주택1종20-07", 1], ["국민주택1종20-08", 1], ["국민주택1종20-09", 1]]</x:v>
      </x:c>
    </x:row>
    <x:row r="6">
      <x:c r="A6" s="21" t="str">
        <x:v>PRBD01N001</x:v>
      </x:c>
      <x:c r="B6" s="21" t="str">
        <x:v>PD_ENG_NM</x:v>
      </x:c>
      <x:c r="C6" s="21" t="str">
        <x:v>text</x:v>
      </x:c>
      <x:c r="D6" s="21" t="str"/>
      <x:c r="E6" s="21" t="str"/>
      <x:c r="F6" s="29" t="str">
        <x:v>42394</x:v>
      </x:c>
      <x:c r="G6" s="29" t="str">
        <x:v>42070</x:v>
      </x:c>
      <x:c r="H6" s="31" t="str">
        <x:v>0.992357</x:v>
      </x:c>
      <x:c r="I6" s="29" t="str">
        <x:v>324</x:v>
      </x:c>
      <x:c r="J6" s="29" t="str">
        <x:v>298</x:v>
      </x:c>
      <x:c r="K6" s="29" t="str">
        <x:v>0</x:v>
      </x:c>
      <x:c r="L6" s="29" t="str">
        <x:v>0</x:v>
      </x:c>
      <x:c r="M6" s="29" t="str">
        <x:v>0</x:v>
      </x:c>
      <x:c r="N6" s="29" t="str">
        <x:v>0</x:v>
      </x:c>
      <x:c r="O6" s="29" t="str">
        <x:v>&gt;10000</x:v>
      </x:c>
      <x:c r="P6" s="29" t="str"/>
      <x:c r="Q6" s="29" t="str"/>
      <x:c r="R6" s="21" t="str"/>
      <x:c r="S6" s="21" t="str"/>
      <x:c r="T6" s="21" t="str">
        <x:v>["KOREA NATIONAL HOUSING BOND (Ⅰ)20-01                                           ", "KOREA NATIONAL HOUSING BOND (Ⅰ)20-02                                           ", "KOREA NATIONAL HOUSING BOND (Ⅰ)20-03                                           "]</x:v>
      </x:c>
      <x:c r="U6" s="21" t="str">
        <x:v>[["KOREA NATIONAL HOUSING BOND (Ⅱ)16-05", 2], ["KOREA NATIONAL HOUSING BOND (Ⅰ)20-01", 1], ["KOREA NATIONAL HOUSING BOND (Ⅰ)20-02", 1], ["KOREA NATIONAL HOUSING BOND (Ⅰ)20-03", 1], ["KOREA NATIONAL HOUSING BOND (Ⅰ)20-04", 1], ["KOREA NATIONAL HOUSING BOND (Ⅰ)20-05", 1], ["KOREA NATIONAL HOUSING BOND (Ⅰ)20-06", 1], ["KOREA NATIONAL HOUSING BOND (Ⅰ)20-07", 1], ["KOREA NATIONAL HOUSING BOND (Ⅰ)20-08", 1], ["KOREA NATIONAL HOUSING BOND (Ⅰ)20-09", 1]]</x:v>
      </x:c>
    </x:row>
    <x:row r="7">
      <x:c r="A7" s="21" t="str">
        <x:v>PRBD01N001</x:v>
      </x:c>
      <x:c r="B7" s="21" t="str">
        <x:v>PD_ABRV_ENG_NM</x:v>
      </x:c>
      <x:c r="C7" s="21" t="str">
        <x:v>text</x:v>
      </x:c>
      <x:c r="D7" s="21" t="str"/>
      <x:c r="E7" s="21" t="str"/>
      <x:c r="F7" s="29" t="str">
        <x:v>42394</x:v>
      </x:c>
      <x:c r="G7" s="29" t="str">
        <x:v>42024</x:v>
      </x:c>
      <x:c r="H7" s="31" t="str">
        <x:v>0.991272</x:v>
      </x:c>
      <x:c r="I7" s="29" t="str">
        <x:v>370</x:v>
      </x:c>
      <x:c r="J7" s="29" t="str">
        <x:v>298</x:v>
      </x:c>
      <x:c r="K7" s="29" t="str">
        <x:v>0</x:v>
      </x:c>
      <x:c r="L7" s="29" t="str">
        <x:v>0</x:v>
      </x:c>
      <x:c r="M7" s="29" t="str">
        <x:v>0</x:v>
      </x:c>
      <x:c r="N7" s="29" t="str">
        <x:v>0</x:v>
      </x:c>
      <x:c r="O7" s="29" t="str">
        <x:v>&gt;10000</x:v>
      </x:c>
      <x:c r="P7" s="29" t="str"/>
      <x:c r="Q7" s="29" t="str"/>
      <x:c r="R7" s="21" t="str"/>
      <x:c r="S7" s="21" t="str"/>
      <x:c r="T7" s="21" t="str">
        <x:v>["KNHB (Ⅰ)20-01                          ", "KNHB (Ⅰ)20-02                          ", "KNHB (Ⅰ)20-03                          "]</x:v>
      </x:c>
      <x:c r="U7" s="21" t="str">
        <x:v>[["KNHB (Ⅱ)16-05", 2], ["KNHB (Ⅰ)20-01", 1], ["KNHB (Ⅰ)20-02", 1], ["KNHB (Ⅰ)20-03", 1], ["KNHB (Ⅰ)20-04", 1], ["KNHB (Ⅰ)20-05", 1], ["KNHB (Ⅰ)20-06", 1], ["KNHB (Ⅰ)20-07", 1], ["KNHB (Ⅰ)20-08", 1], ["KNHB (Ⅰ)20-09", 1]]</x:v>
      </x:c>
    </x:row>
    <x:row r="8">
      <x:c r="A8" s="21" t="str">
        <x:v>PRBD01N001</x:v>
      </x:c>
      <x:c r="B8" s="21" t="str">
        <x:v>PD_CTRY_CD</x:v>
      </x:c>
      <x:c r="C8" s="21" t="str">
        <x:v>text</x:v>
      </x:c>
      <x:c r="D8" s="21" t="str"/>
      <x:c r="E8" s="21" t="str"/>
      <x:c r="F8" s="29" t="str">
        <x:v>42394</x:v>
      </x:c>
      <x:c r="G8" s="29" t="str">
        <x:v>42394</x:v>
      </x:c>
      <x:c r="H8" s="31" t="str">
        <x:v>1.0</x:v>
      </x:c>
      <x:c r="I8" s="29" t="str">
        <x:v>0</x:v>
      </x:c>
      <x:c r="J8" s="29" t="str">
        <x:v>0</x:v>
      </x:c>
      <x:c r="K8" s="29" t="str">
        <x:v>0</x:v>
      </x:c>
      <x:c r="L8" s="29" t="str">
        <x:v>0</x:v>
      </x:c>
      <x:c r="M8" s="29" t="str">
        <x:v>0</x:v>
      </x:c>
      <x:c r="N8" s="29" t="str">
        <x:v>0</x:v>
      </x:c>
      <x:c r="O8" s="29" t="str">
        <x:v>2</x:v>
      </x:c>
      <x:c r="P8" s="29" t="str"/>
      <x:c r="Q8" s="29" t="str"/>
      <x:c r="R8" s="21" t="str"/>
      <x:c r="S8" s="21" t="str"/>
      <x:c r="T8" s="21" t="str">
        <x:v>["KR", "XS"]</x:v>
      </x:c>
      <x:c r="U8" s="21" t="str">
        <x:v>[["KR", 42393], ["XS", 1]]</x:v>
      </x:c>
    </x:row>
    <x:row r="9">
      <x:c r="A9" s="21" t="str">
        <x:v>PRBD01N001</x:v>
      </x:c>
      <x:c r="B9" s="21" t="str">
        <x:v>PD_PBCM</x:v>
      </x:c>
      <x:c r="C9" s="21" t="str">
        <x:v>text</x:v>
      </x:c>
      <x:c r="D9" s="21" t="str"/>
      <x:c r="E9" s="21" t="str"/>
      <x:c r="F9" s="29" t="str">
        <x:v>42394</x:v>
      </x:c>
      <x:c r="G9" s="29" t="str">
        <x:v>41476</x:v>
      </x:c>
      <x:c r="H9" s="31" t="str">
        <x:v>0.978346</x:v>
      </x:c>
      <x:c r="I9" s="29" t="str">
        <x:v>918</x:v>
      </x:c>
      <x:c r="J9" s="29" t="str">
        <x:v>0</x:v>
      </x:c>
      <x:c r="K9" s="29" t="str">
        <x:v>0</x:v>
      </x:c>
      <x:c r="L9" s="29" t="str">
        <x:v>0</x:v>
      </x:c>
      <x:c r="M9" s="29" t="str">
        <x:v>0</x:v>
      </x:c>
      <x:c r="N9" s="29" t="str">
        <x:v>0</x:v>
      </x:c>
      <x:c r="O9" s="29" t="str">
        <x:v>8018</x:v>
      </x:c>
      <x:c r="P9" s="29" t="str"/>
      <x:c r="Q9" s="29" t="str"/>
      <x:c r="R9" s="21" t="str"/>
      <x:c r="S9" s="21" t="str"/>
      <x:c r="T9" s="21" t="str">
        <x:v>["대한민국                            ", "대한민국                            ", "대한민국                            "]</x:v>
      </x:c>
      <x:c r="U9" s="21" t="str">
        <x:v>[["한국주택금융공사", 2384], ["한국산업은행", 1076], ["(주)중소기업은행", 720], ["대한민국", 535], ["한국토지주택공사", 534], ["한국전력공사(주)", 511], ["한국수출입은행", 365], ["한국도로공사", 359], ["(주)신한은행", 296], ["한국장학재단", 254]]</x:v>
      </x:c>
    </x:row>
    <x:row r="10">
      <x:c r="A10" s="21" t="str">
        <x:v>PRBD01N001</x:v>
      </x:c>
      <x:c r="B10" s="21" t="str">
        <x:v>STD_PD_MCLS_NM</x:v>
      </x:c>
      <x:c r="C10" s="21" t="str">
        <x:v>text</x:v>
      </x:c>
      <x:c r="D10" s="21" t="str"/>
      <x:c r="E10" s="21" t="str"/>
      <x:c r="F10" s="29" t="str">
        <x:v>42394</x:v>
      </x:c>
      <x:c r="G10" s="29" t="str">
        <x:v>42394</x:v>
      </x:c>
      <x:c r="H10" s="31" t="str">
        <x:v>1.0</x:v>
      </x:c>
      <x:c r="I10" s="29" t="str">
        <x:v>0</x:v>
      </x:c>
      <x:c r="J10" s="29" t="str">
        <x:v>0</x:v>
      </x:c>
      <x:c r="K10" s="29" t="str">
        <x:v>0</x:v>
      </x:c>
      <x:c r="L10" s="29" t="str">
        <x:v>0</x:v>
      </x:c>
      <x:c r="M10" s="29" t="str">
        <x:v>0</x:v>
      </x:c>
      <x:c r="N10" s="29" t="str">
        <x:v>0</x:v>
      </x:c>
      <x:c r="O10" s="29" t="str">
        <x:v>6</x:v>
      </x:c>
      <x:c r="P10" s="29" t="str"/>
      <x:c r="Q10" s="29" t="str"/>
      <x:c r="R10" s="21" t="str"/>
      <x:c r="S10" s="21" t="str"/>
      <x:c r="T10" s="21" t="str">
        <x:v>["국공채", "회사채", "특수채"]</x:v>
      </x:c>
      <x:c r="U10" s="21" t="str">
        <x:v>[["회사채", 31447], ["특수채", 8755], ["국공채", 2137], ["개인투자용국채", 49], ["외화채권-회사채", 5], ["외화채권-금융채", 1]]</x:v>
      </x:c>
    </x:row>
    <x:row r="11">
      <x:c r="A11" s="21" t="str">
        <x:v>PRBD01N001</x:v>
      </x:c>
      <x:c r="B11" s="21" t="str">
        <x:v>STD_PD_SCLS_NM</x:v>
      </x:c>
      <x:c r="C11" s="21" t="str">
        <x:v>text</x:v>
      </x:c>
      <x:c r="D11" s="21" t="str"/>
      <x:c r="E11" s="21" t="str"/>
      <x:c r="F11" s="29" t="str">
        <x:v>42394</x:v>
      </x:c>
      <x:c r="G11" s="29" t="str">
        <x:v>42381</x:v>
      </x:c>
      <x:c r="H11" s="31" t="str">
        <x:v>0.999693</x:v>
      </x:c>
      <x:c r="I11" s="29" t="str">
        <x:v>13</x:v>
      </x:c>
      <x:c r="J11" s="29" t="str">
        <x:v>0</x:v>
      </x:c>
      <x:c r="K11" s="29" t="str">
        <x:v>0</x:v>
      </x:c>
      <x:c r="L11" s="29" t="str">
        <x:v>0</x:v>
      </x:c>
      <x:c r="M11" s="29" t="str">
        <x:v>0</x:v>
      </x:c>
      <x:c r="N11" s="29" t="str">
        <x:v>0</x:v>
      </x:c>
      <x:c r="O11" s="29" t="str">
        <x:v>16</x:v>
      </x:c>
      <x:c r="P11" s="29" t="str"/>
      <x:c r="Q11" s="29" t="str"/>
      <x:c r="R11" s="21" t="str"/>
      <x:c r="S11" s="21" t="str"/>
      <x:c r="T11" s="21" t="str">
        <x:v>["국민주택", "일반사채", "특수은행채"]</x:v>
      </x:c>
      <x:c r="U11" s="21" t="str">
        <x:v>[["일반사채", 30958], ["공사채", 5386], ["특수은행채", 2436], ["지역개발", 1266], ["은행채", 1247], ["국고채", 312], ["도시철도", 240], ["국민주택", 147], ["공모지방채", 125], ["중앙은행채", 101]]</x:v>
      </x:c>
    </x:row>
    <x:row r="12">
      <x:c r="A12" s="21" t="str">
        <x:v>PRBD01N001</x:v>
      </x:c>
      <x:c r="B12" s="21" t="str">
        <x:v>BD_KND</x:v>
      </x:c>
      <x:c r="C12" s="21" t="str">
        <x:v>text</x:v>
      </x:c>
      <x:c r="D12" s="21" t="str"/>
      <x:c r="E12" s="21" t="str"/>
      <x:c r="F12" s="29" t="str">
        <x:v>42394</x:v>
      </x:c>
      <x:c r="G12" s="29" t="str">
        <x:v>41470</x:v>
      </x:c>
      <x:c r="H12" s="31" t="str">
        <x:v>0.978204</x:v>
      </x:c>
      <x:c r="I12" s="29" t="str">
        <x:v>924</x:v>
      </x:c>
      <x:c r="J12" s="29" t="str">
        <x:v>0</x:v>
      </x:c>
      <x:c r="K12" s="29" t="str">
        <x:v>0</x:v>
      </x:c>
      <x:c r="L12" s="29" t="str">
        <x:v>0</x:v>
      </x:c>
      <x:c r="M12" s="29" t="str">
        <x:v>0</x:v>
      </x:c>
      <x:c r="N12" s="29" t="str">
        <x:v>0</x:v>
      </x:c>
      <x:c r="O12" s="29" t="str">
        <x:v>39</x:v>
      </x:c>
      <x:c r="P12" s="29" t="str"/>
      <x:c r="Q12" s="29" t="str"/>
      <x:c r="R12" s="21" t="str"/>
      <x:c r="S12" s="21" t="str"/>
      <x:c r="T12" s="21" t="str">
        <x:v>["국민주택1종                   ", "국민주택1종                   ", "국민주택1종                   "]</x:v>
      </x:c>
      <x:c r="U12" s="21" t="str">
        <x:v>[["일반회사채", 13998], ["할부금융채", 4677], ["일반특수법인채", 3019], ["유동화회사채", 2798], ["Conduit회사채", 2792], ["신용카드채", 2520], ["특수은행채", 2398], ["MBS", 2159], ["지역개발채", 1266], ["일반은행채", 1253]]</x:v>
      </x:c>
    </x:row>
    <x:row r="13">
      <x:c r="A13" s="21" t="str">
        <x:v>PRBD01N001</x:v>
      </x:c>
      <x:c r="B13" s="21" t="str">
        <x:v>CURR_CD</x:v>
      </x:c>
      <x:c r="C13" s="21" t="str">
        <x:v>text</x:v>
      </x:c>
      <x:c r="D13" s="21" t="str"/>
      <x:c r="E13" s="21" t="str"/>
      <x:c r="F13" s="29" t="str">
        <x:v>42394</x:v>
      </x:c>
      <x:c r="G13" s="29" t="str">
        <x:v>42394</x:v>
      </x:c>
      <x:c r="H13" s="31" t="str">
        <x:v>1.0</x:v>
      </x:c>
      <x:c r="I13" s="29" t="str">
        <x:v>0</x:v>
      </x:c>
      <x:c r="J13" s="29" t="str">
        <x:v>0</x:v>
      </x:c>
      <x:c r="K13" s="29" t="str">
        <x:v>0</x:v>
      </x:c>
      <x:c r="L13" s="29" t="str">
        <x:v>1</x:v>
      </x:c>
      <x:c r="M13" s="29" t="str">
        <x:v>1</x:v>
      </x:c>
      <x:c r="N13" s="29" t="str">
        <x:v>0</x:v>
      </x:c>
      <x:c r="O13" s="29" t="str">
        <x:v>5</x:v>
      </x:c>
      <x:c r="P13" s="29" t="str">
        <x:v>0</x:v>
      </x:c>
      <x:c r="Q13" s="29" t="str">
        <x:v>0</x:v>
      </x:c>
      <x:c r="R13" s="21" t="str"/>
      <x:c r="S13" s="21" t="str"/>
      <x:c r="T13" s="21" t="str">
        <x:v>["KRW", "EUR", "USD"]</x:v>
      </x:c>
      <x:c r="U13" s="21" t="str">
        <x:v>[["KRW", 42372], ["USD", 19], ["EUR", 1], ["JPY", 1], ["000", 1]]</x:v>
      </x:c>
    </x:row>
    <x:row r="14">
      <x:c r="A14" s="21" t="str">
        <x:v>PRBD01N001</x:v>
      </x:c>
      <x:c r="B14" s="21" t="str">
        <x:v>ISU_BAL_AMT</x:v>
      </x:c>
      <x:c r="C14" s="21" t="str">
        <x:v>double precision</x:v>
      </x:c>
      <x:c r="D14" s="21" t="str"/>
      <x:c r="E14" s="21" t="str"/>
      <x:c r="F14" s="29" t="str">
        <x:v>42394</x:v>
      </x:c>
      <x:c r="G14" s="29" t="str">
        <x:v>42394</x:v>
      </x:c>
      <x:c r="H14" s="31" t="str">
        <x:v>1.0</x:v>
      </x:c>
      <x:c r="I14" s="29" t="str">
        <x:v>0</x:v>
      </x:c>
      <x:c r="J14" s="29" t="str">
        <x:v>0</x:v>
      </x:c>
      <x:c r="K14" s="29" t="str">
        <x:v>0</x:v>
      </x:c>
      <x:c r="L14" s="29" t="str">
        <x:v>42394</x:v>
      </x:c>
      <x:c r="M14" s="29" t="str">
        <x:v>4942</x:v>
      </x:c>
      <x:c r="N14" s="29" t="str">
        <x:v>0</x:v>
      </x:c>
      <x:c r="O14" s="29" t="str">
        <x:v>4452</x:v>
      </x:c>
      <x:c r="P14" s="29" t="str">
        <x:v>0</x:v>
      </x:c>
      <x:c r="Q14" s="29" t="str">
        <x:v>46971000000000</x:v>
      </x:c>
      <x:c r="R14" s="21" t="str"/>
      <x:c r="S14" s="21" t="str"/>
      <x:c r="T14" s="21" t="str">
        <x:v>[1397549160000, 1621087290000, 1559671920000]</x:v>
      </x:c>
      <x:c r="U14" s="21" t="str">
        <x:v>[["0", 4942], ["60000000000", 1009], ["90000000000", 572], ["400000000000", 132], ["2000000000000", 24], ["800000000000", 12], ["1000000000000", 7], ["900000000000", 6], ["1200000000000", 4], ["2500000000000", 3]]</x:v>
      </x:c>
    </x:row>
    <x:row r="15">
      <x:c r="A15" s="21" t="str">
        <x:v>PRBD01N001</x:v>
      </x:c>
      <x:c r="B15" s="21" t="str">
        <x:v>ISU_DT</x:v>
      </x:c>
      <x:c r="C15" s="21" t="str">
        <x:v>double precision</x:v>
      </x:c>
      <x:c r="D15" s="21" t="str"/>
      <x:c r="E15" s="21" t="str"/>
      <x:c r="F15" s="29" t="str">
        <x:v>42394</x:v>
      </x:c>
      <x:c r="G15" s="29" t="str">
        <x:v>42391</x:v>
      </x:c>
      <x:c r="H15" s="31" t="str">
        <x:v>0.999929</x:v>
      </x:c>
      <x:c r="I15" s="29" t="str">
        <x:v>3</x:v>
      </x:c>
      <x:c r="J15" s="29" t="str">
        <x:v>0</x:v>
      </x:c>
      <x:c r="K15" s="29" t="str">
        <x:v>0</x:v>
      </x:c>
      <x:c r="L15" s="29" t="str">
        <x:v>42391</x:v>
      </x:c>
      <x:c r="M15" s="29" t="str">
        <x:v>336</x:v>
      </x:c>
      <x:c r="N15" s="29" t="str">
        <x:v>0</x:v>
      </x:c>
      <x:c r="O15" s="29" t="str">
        <x:v>3146</x:v>
      </x:c>
      <x:c r="P15" s="29" t="str">
        <x:v>0</x:v>
      </x:c>
      <x:c r="Q15" s="29" t="str">
        <x:v>20260330</x:v>
      </x:c>
      <x:c r="R15" s="21" t="str">
        <x:v>19941229</x:v>
      </x:c>
      <x:c r="S15" s="21" t="str">
        <x:v>20260330</x:v>
      </x:c>
      <x:c r="T15" s="21" t="str">
        <x:v>[20200131, 20200229, 20200331]</x:v>
      </x:c>
      <x:c r="U15" s="21" t="str">
        <x:v>[["20250626", 602], ["20250529", 358], ["0", 336], ["20250327", 262], ["20250612", 149], ["20250430", 121], ["20250630", 111], ["20251031", 106], ["20241031", 96], ["20240430", 92]]</x:v>
      </x:c>
    </x:row>
    <x:row r="16">
      <x:c r="A16" s="21" t="str">
        <x:v>PRBD01N001</x:v>
      </x:c>
      <x:c r="B16" s="21" t="str">
        <x:v>MAT_DT</x:v>
      </x:c>
      <x:c r="C16" s="21" t="str">
        <x:v>double precision</x:v>
      </x:c>
      <x:c r="D16" s="21" t="str"/>
      <x:c r="E16" s="21" t="str"/>
      <x:c r="F16" s="29" t="str">
        <x:v>42394</x:v>
      </x:c>
      <x:c r="G16" s="29" t="str">
        <x:v>42391</x:v>
      </x:c>
      <x:c r="H16" s="31" t="str">
        <x:v>0.999929</x:v>
      </x:c>
      <x:c r="I16" s="29" t="str">
        <x:v>3</x:v>
      </x:c>
      <x:c r="J16" s="29" t="str">
        <x:v>0</x:v>
      </x:c>
      <x:c r="K16" s="29" t="str">
        <x:v>0</x:v>
      </x:c>
      <x:c r="L16" s="29" t="str">
        <x:v>42391</x:v>
      </x:c>
      <x:c r="M16" s="29" t="str">
        <x:v>316</x:v>
      </x:c>
      <x:c r="N16" s="29" t="str">
        <x:v>0</x:v>
      </x:c>
      <x:c r="O16" s="29" t="str">
        <x:v>5351</x:v>
      </x:c>
      <x:c r="P16" s="29" t="str">
        <x:v>0</x:v>
      </x:c>
      <x:c r="Q16" s="29" t="str">
        <x:v>99991231</x:v>
      </x:c>
      <x:c r="R16" s="21" t="str">
        <x:v>20020629</x:v>
      </x:c>
      <x:c r="S16" s="21" t="str">
        <x:v>99991231</x:v>
      </x:c>
      <x:c r="T16" s="21" t="str">
        <x:v>[20250131, 20250228, 20250331]</x:v>
      </x:c>
      <x:c r="U16" s="21" t="str">
        <x:v>[["0", 316], ["20250626", 223], ["20250228", 116], ["20250630", 93], ["20250430", 92], ["20260430", 84], ["20260630", 82], ["20250930", 71], ["20260424", 68], ["20260331", 66]]</x:v>
      </x:c>
    </x:row>
    <x:row r="17">
      <x:c r="A17" s="21" t="str">
        <x:v>PRBD01N001</x:v>
      </x:c>
      <x:c r="B17" s="21" t="str">
        <x:v>SRFC_IRT</x:v>
      </x:c>
      <x:c r="C17" s="21" t="str">
        <x:v>double precision</x:v>
      </x:c>
      <x:c r="D17" s="21" t="str"/>
      <x:c r="E17" s="21" t="str"/>
      <x:c r="F17" s="29" t="str">
        <x:v>42394</x:v>
      </x:c>
      <x:c r="G17" s="29" t="str">
        <x:v>42392</x:v>
      </x:c>
      <x:c r="H17" s="31" t="str">
        <x:v>0.999953</x:v>
      </x:c>
      <x:c r="I17" s="29" t="str">
        <x:v>2</x:v>
      </x:c>
      <x:c r="J17" s="29" t="str">
        <x:v>0</x:v>
      </x:c>
      <x:c r="K17" s="29" t="str">
        <x:v>0</x:v>
      </x:c>
      <x:c r="L17" s="29" t="str">
        <x:v>42392</x:v>
      </x:c>
      <x:c r="M17" s="29" t="str">
        <x:v>2758</x:v>
      </x:c>
      <x:c r="N17" s="29" t="str">
        <x:v>0</x:v>
      </x:c>
      <x:c r="O17" s="29" t="str">
        <x:v>5676</x:v>
      </x:c>
      <x:c r="P17" s="29" t="str">
        <x:v>0</x:v>
      </x:c>
      <x:c r="Q17" s="29" t="str">
        <x:v>34.277</x:v>
      </x:c>
      <x:c r="R17" s="21" t="str"/>
      <x:c r="S17" s="21" t="str"/>
      <x:c r="T17" s="21" t="str">
        <x:v>[1, 0, 1.3]</x:v>
      </x:c>
      <x:c r="U17" s="21" t="str">
        <x:v>[["0", 2758], ["2.5", 738], ["1.05", 678], ["2", 416], ["3", 314], ["1", 282], ["4", 275], ["8", 201], ["3.2", 132], ["3.5", 120]]</x:v>
      </x:c>
    </x:row>
    <x:row r="18">
      <x:c r="A18" s="21" t="str">
        <x:v>PRBD01N001</x:v>
      </x:c>
      <x:c r="B18" s="21" t="str">
        <x:v>PD_EVCO_CRD_GRD</x:v>
      </x:c>
      <x:c r="C18" s="21" t="str">
        <x:v>text</x:v>
      </x:c>
      <x:c r="D18" s="21" t="str"/>
      <x:c r="E18" s="21" t="str"/>
      <x:c r="F18" s="29" t="str">
        <x:v>42394</x:v>
      </x:c>
      <x:c r="G18" s="29" t="str">
        <x:v>24966</x:v>
      </x:c>
      <x:c r="H18" s="31" t="str">
        <x:v>0.588904</x:v>
      </x:c>
      <x:c r="I18" s="29" t="str">
        <x:v>17428</x:v>
      </x:c>
      <x:c r="J18" s="29" t="str">
        <x:v>0</x:v>
      </x:c>
      <x:c r="K18" s="29" t="str">
        <x:v>0</x:v>
      </x:c>
      <x:c r="L18" s="29" t="str">
        <x:v>0</x:v>
      </x:c>
      <x:c r="M18" s="29" t="str">
        <x:v>0</x:v>
      </x:c>
      <x:c r="N18" s="29" t="str">
        <x:v>0</x:v>
      </x:c>
      <x:c r="O18" s="29" t="str">
        <x:v>100</x:v>
      </x:c>
      <x:c r="P18" s="29" t="str"/>
      <x:c r="Q18" s="29" t="str"/>
      <x:c r="R18" s="21" t="str"/>
      <x:c r="S18" s="21" t="str"/>
      <x:c r="T18" s="21" t="str">
        <x:v>["AAA, AAA, AAA", "BB", "AAA, AAA"]</x:v>
      </x:c>
      <x:c r="U18" s="21" t="str">
        <x:v>[["AAA, AAA, AAA", 6427], ["AA-, AA-, AA-", 4118], ["AAA, AAA", 4065], ["AA+, AA+, AA+", 2533], ["AAA", 1745], ["AA-, AA-", 759], ["AA, AA", 732], ["AA, AA, AA", 695], ["A+, A+", 598], ["AA+, AA+", 451]]</x:v>
      </x:c>
    </x:row>
    <x:row r="19">
      <x:c r="A19" s="21" t="str">
        <x:v>PRBD01N001</x:v>
      </x:c>
      <x:c r="B19" s="21" t="str">
        <x:v>PD_RISK_GCD</x:v>
      </x:c>
      <x:c r="C19" s="21" t="str">
        <x:v>bigint</x:v>
      </x:c>
      <x:c r="D19" s="21" t="str"/>
      <x:c r="E19" s="21" t="str"/>
      <x:c r="F19" s="29" t="str">
        <x:v>42394</x:v>
      </x:c>
      <x:c r="G19" s="29" t="str">
        <x:v>42394</x:v>
      </x:c>
      <x:c r="H19" s="31" t="str">
        <x:v>1.0</x:v>
      </x:c>
      <x:c r="I19" s="29" t="str">
        <x:v>0</x:v>
      </x:c>
      <x:c r="J19" s="29" t="str">
        <x:v>0</x:v>
      </x:c>
      <x:c r="K19" s="29" t="str">
        <x:v>0</x:v>
      </x:c>
      <x:c r="L19" s="29" t="str">
        <x:v>42394</x:v>
      </x:c>
      <x:c r="M19" s="29" t="str">
        <x:v>58</x:v>
      </x:c>
      <x:c r="N19" s="29" t="str">
        <x:v>0</x:v>
      </x:c>
      <x:c r="O19" s="29" t="str">
        <x:v>7</x:v>
      </x:c>
      <x:c r="P19" s="29" t="str">
        <x:v>0</x:v>
      </x:c>
      <x:c r="Q19" s="29" t="str">
        <x:v>6</x:v>
      </x:c>
      <x:c r="R19" s="21" t="str"/>
      <x:c r="S19" s="21" t="str"/>
      <x:c r="T19" s="21" t="str">
        <x:v>[6, 1, 2]</x:v>
      </x:c>
      <x:c r="U19" s="21" t="str">
        <x:v>[["1", 15950], ["5", 13696], ["6", 10408], ["4", 1938], ["3", 282], ["2", 62], ["0", 58]]</x:v>
      </x:c>
    </x:row>
    <x:row r="20">
      <x:c r="A20" s="21" t="str">
        <x:v>PRBD01N001</x:v>
      </x:c>
      <x:c r="B20" s="21" t="str">
        <x:v>PD_STD_INFO_UPDATE</x:v>
      </x:c>
      <x:c r="C20" s="21" t="str">
        <x:v>double precision</x:v>
      </x:c>
      <x:c r="D20" s="21" t="str"/>
      <x:c r="E20" s="21" t="str"/>
      <x:c r="F20" s="29" t="str">
        <x:v>42394</x:v>
      </x:c>
      <x:c r="G20" s="29" t="str">
        <x:v>31823</x:v>
      </x:c>
      <x:c r="H20" s="31" t="str">
        <x:v>0.750649</x:v>
      </x:c>
      <x:c r="I20" s="29" t="str">
        <x:v>10571</x:v>
      </x:c>
      <x:c r="J20" s="29" t="str">
        <x:v>0</x:v>
      </x:c>
      <x:c r="K20" s="29" t="str">
        <x:v>0</x:v>
      </x:c>
      <x:c r="L20" s="29" t="str">
        <x:v>31823</x:v>
      </x:c>
      <x:c r="M20" s="29" t="str">
        <x:v>0</x:v>
      </x:c>
      <x:c r="N20" s="29" t="str">
        <x:v>0</x:v>
      </x:c>
      <x:c r="O20" s="29" t="str">
        <x:v>910</x:v>
      </x:c>
      <x:c r="P20" s="29" t="str">
        <x:v>20181005</x:v>
      </x:c>
      <x:c r="Q20" s="29" t="str">
        <x:v>20260224</x:v>
      </x:c>
      <x:c r="R20" s="21" t="str">
        <x:v>20181005</x:v>
      </x:c>
      <x:c r="S20" s="21" t="str">
        <x:v>20260224</x:v>
      </x:c>
      <x:c r="T20" s="21" t="str">
        <x:v>[20250203, 20250304, 20250401]</x:v>
      </x:c>
      <x:c r="U20" s="21" t="str">
        <x:v>[["20260224", 20160], ["20250529", 195], ["20250131", 162], ["20250304", 116], ["20260202", 98], ["20251106", 98], ["20260219", 97], ["20250901", 96], ["20250630", 95], ["20250602", 94]]</x:v>
      </x:c>
    </x:row>
    <x:row r="21">
      <x:c r="A21" s="21" t="str">
        <x:v>PRBD01N001</x:v>
      </x:c>
      <x:c r="B21" s="21" t="str">
        <x:v>BUY_YIELD</x:v>
      </x:c>
      <x:c r="C21" s="21" t="str">
        <x:v>double precision</x:v>
      </x:c>
      <x:c r="D21" s="21" t="str"/>
      <x:c r="E21" s="21" t="str"/>
      <x:c r="F21" s="29" t="str">
        <x:v>42394</x:v>
      </x:c>
      <x:c r="G21" s="29" t="str">
        <x:v>881</x:v>
      </x:c>
      <x:c r="H21" s="31" t="str">
        <x:v>0.020781</x:v>
      </x:c>
      <x:c r="I21" s="29" t="str">
        <x:v>41513</x:v>
      </x:c>
      <x:c r="J21" s="29" t="str">
        <x:v>0</x:v>
      </x:c>
      <x:c r="K21" s="29" t="str">
        <x:v>0</x:v>
      </x:c>
      <x:c r="L21" s="29" t="str">
        <x:v>881</x:v>
      </x:c>
      <x:c r="M21" s="29" t="str">
        <x:v>0</x:v>
      </x:c>
      <x:c r="N21" s="29" t="str">
        <x:v>0</x:v>
      </x:c>
      <x:c r="O21" s="29" t="str">
        <x:v>539</x:v>
      </x:c>
      <x:c r="P21" s="29" t="str">
        <x:v>1.705</x:v>
      </x:c>
      <x:c r="Q21" s="29" t="str">
        <x:v>5.57</x:v>
      </x:c>
      <x:c r="R21" s="21" t="str"/>
      <x:c r="S21" s="21" t="str"/>
      <x:c r="T21" s="21" t="str">
        <x:v>[3.2, 3.28, 3.35]</x:v>
      </x:c>
      <x:c r="U21" s="21" t="str">
        <x:v>[["3.5", 11], ["2.68", 11], ["2.75", 9], ["2.64", 8], ["3.09", 8], ["3.05", 7], ["3.37", 7], ["3.35", 6], ["3.42", 6], ["3.31", 6]]</x:v>
      </x:c>
    </x:row>
    <x:row r="22">
      <x:c r="A22" s="21" t="str">
        <x:v>PRBD01N001</x:v>
      </x:c>
      <x:c r="B22" s="21" t="str">
        <x:v>CORP_PRETAX_YIELD</x:v>
      </x:c>
      <x:c r="C22" s="21" t="str">
        <x:v>double precision</x:v>
      </x:c>
      <x:c r="D22" s="21" t="str"/>
      <x:c r="E22" s="21" t="str"/>
      <x:c r="F22" s="29" t="str">
        <x:v>42394</x:v>
      </x:c>
      <x:c r="G22" s="29" t="str">
        <x:v>881</x:v>
      </x:c>
      <x:c r="H22" s="31" t="str">
        <x:v>0.020781</x:v>
      </x:c>
      <x:c r="I22" s="29" t="str">
        <x:v>41513</x:v>
      </x:c>
      <x:c r="J22" s="29" t="str">
        <x:v>0</x:v>
      </x:c>
      <x:c r="K22" s="29" t="str">
        <x:v>0</x:v>
      </x:c>
      <x:c r="L22" s="29" t="str">
        <x:v>881</x:v>
      </x:c>
      <x:c r="M22" s="29" t="str">
        <x:v>0</x:v>
      </x:c>
      <x:c r="N22" s="29" t="str">
        <x:v>1</x:v>
      </x:c>
      <x:c r="O22" s="29" t="str">
        <x:v>829</x:v>
      </x:c>
      <x:c r="P22" s="29" t="str">
        <x:v>-0.7589</x:v>
      </x:c>
      <x:c r="Q22" s="29" t="str">
        <x:v>6.6492</x:v>
      </x:c>
      <x:c r="R22" s="21" t="str"/>
      <x:c r="S22" s="21" t="str"/>
      <x:c r="T22" s="21" t="str">
        <x:v>[3.1986, 3.2808, 3.3524]</x:v>
      </x:c>
      <x:c r="U22" s="21" t="str">
        <x:v>[["2.1716", 2], ["2.6081", 2], ["2.7048", 2], ["2.784", 2], ["3.3711", 2], ["3.4277", 2], ["3.6037", 2], ["3.0452", 2], ["3.7512", 2], ["3.0265", 2]]</x:v>
      </x:c>
    </x:row>
    <x:row r="23">
      <x:c r="A23" s="21" t="str">
        <x:v>PRBD01N001</x:v>
      </x:c>
      <x:c r="B23" s="21" t="str">
        <x:v>CORP_AFTER_TAX_YIELD</x:v>
      </x:c>
      <x:c r="C23" s="21" t="str">
        <x:v>double precision</x:v>
      </x:c>
      <x:c r="D23" s="21" t="str"/>
      <x:c r="E23" s="21" t="str"/>
      <x:c r="F23" s="29" t="str">
        <x:v>42394</x:v>
      </x:c>
      <x:c r="G23" s="29" t="str">
        <x:v>881</x:v>
      </x:c>
      <x:c r="H23" s="31" t="str">
        <x:v>0.020781</x:v>
      </x:c>
      <x:c r="I23" s="29" t="str">
        <x:v>41513</x:v>
      </x:c>
      <x:c r="J23" s="29" t="str">
        <x:v>0</x:v>
      </x:c>
      <x:c r="K23" s="29" t="str">
        <x:v>0</x:v>
      </x:c>
      <x:c r="L23" s="29" t="str">
        <x:v>881</x:v>
      </x:c>
      <x:c r="M23" s="29" t="str">
        <x:v>0</x:v>
      </x:c>
      <x:c r="N23" s="29" t="str">
        <x:v>1</x:v>
      </x:c>
      <x:c r="O23" s="29" t="str">
        <x:v>829</x:v>
      </x:c>
      <x:c r="P23" s="29" t="str">
        <x:v>-0.7589</x:v>
      </x:c>
      <x:c r="Q23" s="29" t="str">
        <x:v>6.0847</x:v>
      </x:c>
      <x:c r="R23" s="21" t="str"/>
      <x:c r="S23" s="21" t="str"/>
      <x:c r="T23" s="21" t="str">
        <x:v>[3.0415, 3.123, 3.1947]</x:v>
      </x:c>
      <x:c r="U23" s="21" t="str">
        <x:v>[["3.1947", 2], ["1.9709", 2], ["2.6255", 2], ["2.8219", 2], ["3.2129", 2], ["3.4437", 2], ["3.0415", 1], ["3.123", 1], ["3.2082", 1], ["2.5702", 1]]</x:v>
      </x:c>
    </x:row>
    <x:row r="24">
      <x:c r="A24" s="21" t="str">
        <x:v>PRBD01N001</x:v>
      </x:c>
      <x:c r="B24" s="21" t="str">
        <x:v>AFTER_TAX_YIELD</x:v>
      </x:c>
      <x:c r="C24" s="21" t="str">
        <x:v>double precision</x:v>
      </x:c>
      <x:c r="D24" s="21" t="str"/>
      <x:c r="E24" s="21" t="str"/>
      <x:c r="F24" s="29" t="str">
        <x:v>42394</x:v>
      </x:c>
      <x:c r="G24" s="29" t="str">
        <x:v>881</x:v>
      </x:c>
      <x:c r="H24" s="31" t="str">
        <x:v>0.020781</x:v>
      </x:c>
      <x:c r="I24" s="29" t="str">
        <x:v>41513</x:v>
      </x:c>
      <x:c r="J24" s="29" t="str">
        <x:v>0</x:v>
      </x:c>
      <x:c r="K24" s="29" t="str">
        <x:v>0</x:v>
      </x:c>
      <x:c r="L24" s="29" t="str">
        <x:v>881</x:v>
      </x:c>
      <x:c r="M24" s="29" t="str">
        <x:v>0</x:v>
      </x:c>
      <x:c r="N24" s="29" t="str">
        <x:v>1</x:v>
      </x:c>
      <x:c r="O24" s="29" t="str">
        <x:v>828</x:v>
      </x:c>
      <x:c r="P24" s="29" t="str">
        <x:v>-1.1514</x:v>
      </x:c>
      <x:c r="Q24" s="29" t="str">
        <x:v>6.0847</x:v>
      </x:c>
      <x:c r="R24" s="21" t="str"/>
      <x:c r="S24" s="21" t="str"/>
      <x:c r="T24" s="21" t="str">
        <x:v>[3.0415, 3.123, 3.1947]</x:v>
      </x:c>
      <x:c r="U24" s="21" t="str">
        <x:v>[["3.1947", 2], ["1.9709", 2], ["2.6255", 2], ["2.8219", 2], ["3.2129", 2], ["3.4437", 2], ["3.0415", 1], ["3.123", 1], ["3.2082", 1], ["2.5702", 1]]</x:v>
      </x:c>
    </x:row>
    <x:row r="25">
      <x:c r="A25" s="21" t="str">
        <x:v>PRBD01N001</x:v>
      </x:c>
      <x:c r="B25" s="21" t="str">
        <x:v>PREF_TAX_YIELD</x:v>
      </x:c>
      <x:c r="C25" s="21" t="str">
        <x:v>double precision</x:v>
      </x:c>
      <x:c r="D25" s="21" t="str"/>
      <x:c r="E25" s="21" t="str"/>
      <x:c r="F25" s="29" t="str">
        <x:v>42394</x:v>
      </x:c>
      <x:c r="G25" s="29" t="str">
        <x:v>881</x:v>
      </x:c>
      <x:c r="H25" s="31" t="str">
        <x:v>0.020781</x:v>
      </x:c>
      <x:c r="I25" s="29" t="str">
        <x:v>41513</x:v>
      </x:c>
      <x:c r="J25" s="29" t="str">
        <x:v>0</x:v>
      </x:c>
      <x:c r="K25" s="29" t="str">
        <x:v>0</x:v>
      </x:c>
      <x:c r="L25" s="29" t="str">
        <x:v>881</x:v>
      </x:c>
      <x:c r="M25" s="29" t="str">
        <x:v>0</x:v>
      </x:c>
      <x:c r="N25" s="29" t="str">
        <x:v>1</x:v>
      </x:c>
      <x:c r="O25" s="29" t="str">
        <x:v>836</x:v>
      </x:c>
      <x:c r="P25" s="29" t="str">
        <x:v>-0.7589</x:v>
      </x:c>
      <x:c r="Q25" s="29" t="str">
        <x:v>6.301</x:v>
      </x:c>
      <x:c r="R25" s="21" t="str"/>
      <x:c r="S25" s="21" t="str"/>
      <x:c r="T25" s="21" t="str">
        <x:v>[3.1017, 3.1834, 3.2551]</x:v>
      </x:c>
      <x:c r="U25" s="21" t="str">
        <x:v>[["2.7766", 4], ["3.5899", 3], ["2.0478", 2], ["3.3383", 2], ["2.4556", 2], ["2.592", 2], ["3.1017", 1], ["3.1834", 1], ["3.2551", 1], ["3.269", 1]]</x:v>
      </x:c>
    </x:row>
    <x:row r="26">
      <x:c r="A26" s="21" t="str">
        <x:v>PRBD01N001</x:v>
      </x:c>
      <x:c r="B26" s="21" t="str">
        <x:v>AVG_ANNUAL_TAX_YIELD</x:v>
      </x:c>
      <x:c r="C26" s="21" t="str">
        <x:v>double precision</x:v>
      </x:c>
      <x:c r="D26" s="21" t="str"/>
      <x:c r="E26" s="21" t="str"/>
      <x:c r="F26" s="29" t="str">
        <x:v>42394</x:v>
      </x:c>
      <x:c r="G26" s="29" t="str">
        <x:v>881</x:v>
      </x:c>
      <x:c r="H26" s="31" t="str">
        <x:v>0.020781</x:v>
      </x:c>
      <x:c r="I26" s="29" t="str">
        <x:v>41513</x:v>
      </x:c>
      <x:c r="J26" s="29" t="str">
        <x:v>0</x:v>
      </x:c>
      <x:c r="K26" s="29" t="str">
        <x:v>0</x:v>
      </x:c>
      <x:c r="L26" s="29" t="str">
        <x:v>881</x:v>
      </x:c>
      <x:c r="M26" s="29" t="str">
        <x:v>881</x:v>
      </x:c>
      <x:c r="N26" s="29" t="str">
        <x:v>0</x:v>
      </x:c>
      <x:c r="O26" s="29" t="str">
        <x:v>1</x:v>
      </x:c>
      <x:c r="P26" s="29" t="str">
        <x:v>0</x:v>
      </x:c>
      <x:c r="Q26" s="29" t="str">
        <x:v>0</x:v>
      </x:c>
      <x:c r="R26" s="21" t="str"/>
      <x:c r="S26" s="21" t="str"/>
      <x:c r="T26" s="21" t="str">
        <x:v>[0]</x:v>
      </x:c>
      <x:c r="U26" s="21" t="str">
        <x:v>[["0", 881]]</x:v>
      </x:c>
    </x:row>
    <x:row r="27">
      <x:c r="A27" s="21" t="str">
        <x:v>PRBD01N001</x:v>
      </x:c>
      <x:c r="B27" s="21" t="str">
        <x:v>DEPO_EQUIV_YIELD_154</x:v>
      </x:c>
      <x:c r="C27" s="21" t="str">
        <x:v>double precision</x:v>
      </x:c>
      <x:c r="D27" s="21" t="str"/>
      <x:c r="E27" s="21" t="str"/>
      <x:c r="F27" s="29" t="str">
        <x:v>42394</x:v>
      </x:c>
      <x:c r="G27" s="29" t="str">
        <x:v>881</x:v>
      </x:c>
      <x:c r="H27" s="31" t="str">
        <x:v>0.020781</x:v>
      </x:c>
      <x:c r="I27" s="29" t="str">
        <x:v>41513</x:v>
      </x:c>
      <x:c r="J27" s="29" t="str">
        <x:v>0</x:v>
      </x:c>
      <x:c r="K27" s="29" t="str">
        <x:v>0</x:v>
      </x:c>
      <x:c r="L27" s="29" t="str">
        <x:v>881</x:v>
      </x:c>
      <x:c r="M27" s="29" t="str">
        <x:v>0</x:v>
      </x:c>
      <x:c r="N27" s="29" t="str">
        <x:v>1</x:v>
      </x:c>
      <x:c r="O27" s="29" t="str">
        <x:v>828</x:v>
      </x:c>
      <x:c r="P27" s="29" t="str">
        <x:v>-1.361</x:v>
      </x:c>
      <x:c r="Q27" s="29" t="str">
        <x:v>7.1923</x:v>
      </x:c>
      <x:c r="R27" s="21" t="str"/>
      <x:c r="S27" s="21" t="str"/>
      <x:c r="T27" s="21" t="str">
        <x:v>[3.5952, 3.6915, 3.7762]</x:v>
      </x:c>
      <x:c r="U27" s="21" t="str">
        <x:v>[["3.7762", 2], ["2.3297", 2], ["3.1034", 2], ["3.3356", 2], ["3.7978", 2], ["4.0706", 2], ["3.5952", 1], ["3.6915", 1], ["3.7922", 1], ["3.0381", 1]]</x:v>
      </x:c>
    </x:row>
    <x:row r="28">
      <x:c r="A28" s="21" t="str">
        <x:v>PRBD01N001</x:v>
      </x:c>
      <x:c r="B28" s="21" t="str">
        <x:v>BUYABLE_QUANTITY</x:v>
      </x:c>
      <x:c r="C28" s="21" t="str">
        <x:v>double precision</x:v>
      </x:c>
      <x:c r="D28" s="21" t="str"/>
      <x:c r="E28" s="21" t="str"/>
      <x:c r="F28" s="29" t="str">
        <x:v>42394</x:v>
      </x:c>
      <x:c r="G28" s="29" t="str">
        <x:v>881</x:v>
      </x:c>
      <x:c r="H28" s="31" t="str">
        <x:v>0.020781</x:v>
      </x:c>
      <x:c r="I28" s="29" t="str">
        <x:v>41513</x:v>
      </x:c>
      <x:c r="J28" s="29" t="str">
        <x:v>0</x:v>
      </x:c>
      <x:c r="K28" s="29" t="str">
        <x:v>0</x:v>
      </x:c>
      <x:c r="L28" s="29" t="str">
        <x:v>881</x:v>
      </x:c>
      <x:c r="M28" s="29" t="str">
        <x:v>556</x:v>
      </x:c>
      <x:c r="N28" s="29" t="str">
        <x:v>0</x:v>
      </x:c>
      <x:c r="O28" s="29" t="str">
        <x:v>295</x:v>
      </x:c>
      <x:c r="P28" s="29" t="str">
        <x:v>0</x:v>
      </x:c>
      <x:c r="Q28" s="29" t="str">
        <x:v>12323631000</x:v>
      </x:c>
      <x:c r="R28" s="21" t="str"/>
      <x:c r="S28" s="21" t="str"/>
      <x:c r="T28" s="21" t="str">
        <x:v>[27568000, 0, 2000000000]</x:v>
      </x:c>
      <x:c r="U28" s="21" t="str">
        <x:v>[["0", 556], ["1000", 19], ["10000000", 7], ["50000000", 4], ["40000000", 2], ["3000", 2], ["100000000", 2], ["27568000", 1], ["2000000000", 1], ["2473000", 1]]</x:v>
      </x:c>
    </x:row>
    <x:row r="29">
      <x:c r="A29" s="21" t="str">
        <x:v>PRBD01N001</x:v>
      </x:c>
      <x:c r="B29" s="21" t="str">
        <x:v>REMAINING_DAYS</x:v>
      </x:c>
      <x:c r="C29" s="21" t="str">
        <x:v>double precision</x:v>
      </x:c>
      <x:c r="D29" s="21" t="str"/>
      <x:c r="E29" s="21" t="str"/>
      <x:c r="F29" s="29" t="str">
        <x:v>42394</x:v>
      </x:c>
      <x:c r="G29" s="29" t="str">
        <x:v>31749</x:v>
      </x:c>
      <x:c r="H29" s="31" t="str">
        <x:v>0.748903</x:v>
      </x:c>
      <x:c r="I29" s="29" t="str">
        <x:v>10645</x:v>
      </x:c>
      <x:c r="J29" s="29" t="str">
        <x:v>0</x:v>
      </x:c>
      <x:c r="K29" s="29" t="str">
        <x:v>0</x:v>
      </x:c>
      <x:c r="L29" s="29" t="str">
        <x:v>31749</x:v>
      </x:c>
      <x:c r="M29" s="29" t="str">
        <x:v>7805</x:v>
      </x:c>
      <x:c r="N29" s="29" t="str">
        <x:v>0</x:v>
      </x:c>
      <x:c r="O29" s="29" t="str">
        <x:v>3942</x:v>
      </x:c>
      <x:c r="P29" s="29" t="str">
        <x:v>0</x:v>
      </x:c>
      <x:c r="Q29" s="29" t="str">
        <x:v>20920</x:v>
      </x:c>
      <x:c r="R29" s="21" t="str"/>
      <x:c r="S29" s="21" t="str"/>
      <x:c r="T29" s="21" t="str">
        <x:v>[0, 4, 35]</x:v>
      </x:c>
      <x:c r="U29" s="21" t="str">
        <x:v>[["0", 7805], ["549", 75], ["65", 71], ["430", 60], ["157", 59], ["59", 59], ["126", 55], ["35", 52], ["369", 52], ["491", 51]]</x:v>
      </x:c>
    </x:row>
    <x:row r="30">
      <x:c r="A30" s="21" t="str">
        <x:v>PRBD01N001</x:v>
      </x:c>
      <x:c r="B30" s="21" t="str">
        <x:v>DUR</x:v>
      </x:c>
      <x:c r="C30" s="21" t="str">
        <x:v>double precision</x:v>
      </x:c>
      <x:c r="D30" s="21" t="str"/>
      <x:c r="E30" s="21" t="str"/>
      <x:c r="F30" s="29" t="str">
        <x:v>42394</x:v>
      </x:c>
      <x:c r="G30" s="29" t="str">
        <x:v>29018</x:v>
      </x:c>
      <x:c r="H30" s="31" t="str">
        <x:v>0.684484</x:v>
      </x:c>
      <x:c r="I30" s="29" t="str">
        <x:v>13376</x:v>
      </x:c>
      <x:c r="J30" s="29" t="str">
        <x:v>0</x:v>
      </x:c>
      <x:c r="K30" s="29" t="str">
        <x:v>0</x:v>
      </x:c>
      <x:c r="L30" s="29" t="str">
        <x:v>29018</x:v>
      </x:c>
      <x:c r="M30" s="29" t="str">
        <x:v>8268</x:v>
      </x:c>
      <x:c r="N30" s="29" t="str">
        <x:v>0</x:v>
      </x:c>
      <x:c r="O30" s="29" t="str">
        <x:v>&gt;10000</x:v>
      </x:c>
      <x:c r="P30" s="29" t="str">
        <x:v>0</x:v>
      </x:c>
      <x:c r="Q30" s="29" t="str">
        <x:v>99</x:v>
      </x:c>
      <x:c r="R30" s="21" t="str"/>
      <x:c r="S30" s="21" t="str"/>
      <x:c r="T30" s="21" t="str">
        <x:v>[0, 0.0094, 0.0939]</x:v>
      </x:c>
      <x:c r="U30" s="21" t="str">
        <x:v>[["0", 8268], ["0.0939", 22], ["0.0094", 21], ["0.122", 14], ["0.0937", 7], ["0.0377", 6], ["0.0081", 5], ["0.175", 4], ["0.4235", 4], ["2.9389", 3]]</x:v>
      </x:c>
    </x:row>
    <x:row r="31">
      <x:c r="A31" s="21" t="str">
        <x:v>PRBD01N001</x:v>
      </x:c>
      <x:c r="B31" s="21" t="str">
        <x:v>COV</x:v>
      </x:c>
      <x:c r="C31" s="21" t="str">
        <x:v>double precision</x:v>
      </x:c>
      <x:c r="D31" s="21" t="str"/>
      <x:c r="E31" s="21" t="str"/>
      <x:c r="F31" s="29" t="str">
        <x:v>42394</x:v>
      </x:c>
      <x:c r="G31" s="29" t="str">
        <x:v>29018</x:v>
      </x:c>
      <x:c r="H31" s="31" t="str">
        <x:v>0.684484</x:v>
      </x:c>
      <x:c r="I31" s="29" t="str">
        <x:v>13376</x:v>
      </x:c>
      <x:c r="J31" s="29" t="str">
        <x:v>0</x:v>
      </x:c>
      <x:c r="K31" s="29" t="str">
        <x:v>0</x:v>
      </x:c>
      <x:c r="L31" s="29" t="str">
        <x:v>29018</x:v>
      </x:c>
      <x:c r="M31" s="29" t="str">
        <x:v>8326</x:v>
      </x:c>
      <x:c r="N31" s="29" t="str">
        <x:v>0</x:v>
      </x:c>
      <x:c r="O31" s="29" t="str">
        <x:v>&gt;10000</x:v>
      </x:c>
      <x:c r="P31" s="29" t="str">
        <x:v>0</x:v>
      </x:c>
      <x:c r="Q31" s="29" t="str">
        <x:v>2499</x:v>
      </x:c>
      <x:c r="R31" s="21" t="str"/>
      <x:c r="S31" s="21" t="str"/>
      <x:c r="T31" s="21" t="str">
        <x:v>[0, 0.0046, 0.0588]</x:v>
      </x:c>
      <x:c r="U31" s="21" t="str">
        <x:v>[["0", 8326], ["0.0046", 25], ["0.004", 9], ["0.0115", 7], ["0.0595", 4], ["0.1951", 4], ["0.3404", 3], ["0.0588", 2], ["0.1307", 2], ["0.472", 2]]</x:v>
      </x:c>
    </x:row>
    <x:row r="32">
      <x:c r="A32" s="21" t="str">
        <x:v>PRBD01N001</x:v>
      </x:c>
      <x:c r="B32" s="21" t="str">
        <x:v>NDY_DUR</x:v>
      </x:c>
      <x:c r="C32" s="21" t="str">
        <x:v>double precision</x:v>
      </x:c>
      <x:c r="D32" s="21" t="str"/>
      <x:c r="E32" s="21" t="str"/>
      <x:c r="F32" s="29" t="str">
        <x:v>42394</x:v>
      </x:c>
      <x:c r="G32" s="29" t="str">
        <x:v>29018</x:v>
      </x:c>
      <x:c r="H32" s="31" t="str">
        <x:v>0.684484</x:v>
      </x:c>
      <x:c r="I32" s="29" t="str">
        <x:v>13376</x:v>
      </x:c>
      <x:c r="J32" s="29" t="str">
        <x:v>0</x:v>
      </x:c>
      <x:c r="K32" s="29" t="str">
        <x:v>0</x:v>
      </x:c>
      <x:c r="L32" s="29" t="str">
        <x:v>29018</x:v>
      </x:c>
      <x:c r="M32" s="29" t="str">
        <x:v>8600</x:v>
      </x:c>
      <x:c r="N32" s="29" t="str">
        <x:v>0</x:v>
      </x:c>
      <x:c r="O32" s="29" t="str">
        <x:v>&gt;10000</x:v>
      </x:c>
      <x:c r="P32" s="29" t="str">
        <x:v>0</x:v>
      </x:c>
      <x:c r="Q32" s="29" t="str">
        <x:v>99</x:v>
      </x:c>
      <x:c r="R32" s="21" t="str"/>
      <x:c r="S32" s="21" t="str"/>
      <x:c r="T32" s="21" t="str">
        <x:v>[0, 0.0072, 0.0922]</x:v>
      </x:c>
      <x:c r="U32" s="21" t="str">
        <x:v>[["0", 8600], ["0.0922", 35], ["0.0072", 21], ["0.6691", 20], ["0.8324", 20], ["0.1356", 7], ["0.0357", 5], ["0.2865", 5], ["0.1736", 4], ["0.3386", 4]]</x:v>
      </x:c>
    </x:row>
    <x:row r="33">
      <x:c r="A33" s="21" t="str">
        <x:v>PRBD01N001</x:v>
      </x:c>
      <x:c r="B33" s="21" t="str">
        <x:v>NDY_COV</x:v>
      </x:c>
      <x:c r="C33" s="21" t="str">
        <x:v>double precision</x:v>
      </x:c>
      <x:c r="D33" s="21" t="str"/>
      <x:c r="E33" s="21" t="str"/>
      <x:c r="F33" s="29" t="str">
        <x:v>42394</x:v>
      </x:c>
      <x:c r="G33" s="29" t="str">
        <x:v>29018</x:v>
      </x:c>
      <x:c r="H33" s="31" t="str">
        <x:v>0.684484</x:v>
      </x:c>
      <x:c r="I33" s="29" t="str">
        <x:v>13376</x:v>
      </x:c>
      <x:c r="J33" s="29" t="str">
        <x:v>0</x:v>
      </x:c>
      <x:c r="K33" s="29" t="str">
        <x:v>0</x:v>
      </x:c>
      <x:c r="L33" s="29" t="str">
        <x:v>29018</x:v>
      </x:c>
      <x:c r="M33" s="29" t="str">
        <x:v>8646</x:v>
      </x:c>
      <x:c r="N33" s="29" t="str">
        <x:v>0</x:v>
      </x:c>
      <x:c r="O33" s="29" t="str">
        <x:v>&gt;10000</x:v>
      </x:c>
      <x:c r="P33" s="29" t="str">
        <x:v>0</x:v>
      </x:c>
      <x:c r="Q33" s="29" t="str">
        <x:v>2499</x:v>
      </x:c>
      <x:c r="R33" s="21" t="str"/>
      <x:c r="S33" s="21" t="str"/>
      <x:c r="T33" s="21" t="str">
        <x:v>[0, 0.0018, 0.0437]</x:v>
      </x:c>
      <x:c r="U33" s="21" t="str">
        <x:v>[["0", 8646], ["0.0018", 34], ["0.0437", 31], ["0.0027", 9], ["0.0079", 8], ["0.1832", 3], ["0.4314", 2], ["0.7567", 2], ["2.3379", 2], ["2.8475", 2]]</x:v>
      </x:c>
    </x:row>
    <x:row r="34">
      <x:c r="A34" s="21" t="str">
        <x:v>PRBD01N001</x:v>
      </x:c>
      <x:c r="B34" s="21" t="str">
        <x:v>EVAL_PRICE</x:v>
      </x:c>
      <x:c r="C34" s="21" t="str">
        <x:v>double precision</x:v>
      </x:c>
      <x:c r="D34" s="21" t="str"/>
      <x:c r="E34" s="21" t="str"/>
      <x:c r="F34" s="29" t="str">
        <x:v>42394</x:v>
      </x:c>
      <x:c r="G34" s="29" t="str">
        <x:v>31823</x:v>
      </x:c>
      <x:c r="H34" s="31" t="str">
        <x:v>0.750649</x:v>
      </x:c>
      <x:c r="I34" s="29" t="str">
        <x:v>10571</x:v>
      </x:c>
      <x:c r="J34" s="29" t="str">
        <x:v>0</x:v>
      </x:c>
      <x:c r="K34" s="29" t="str">
        <x:v>0</x:v>
      </x:c>
      <x:c r="L34" s="29" t="str">
        <x:v>31823</x:v>
      </x:c>
      <x:c r="M34" s="29" t="str">
        <x:v>57</x:v>
      </x:c>
      <x:c r="N34" s="29" t="str">
        <x:v>0</x:v>
      </x:c>
      <x:c r="O34" s="29" t="str">
        <x:v>&gt;10000</x:v>
      </x:c>
      <x:c r="P34" s="29" t="str">
        <x:v>0</x:v>
      </x:c>
      <x:c r="Q34" s="29" t="str">
        <x:v>414569.54829425</x:v>
      </x:c>
      <x:c r="R34" s="21" t="str"/>
      <x:c r="S34" s="21" t="str"/>
      <x:c r="T34" s="21" t="str">
        <x:v>[10510, 10340, 10507.27]</x:v>
      </x:c>
      <x:c r="U34" s="21" t="str">
        <x:v>[["10000", 2848], ["0", 57], ["10112.5", 12], ["10510", 11], ["9983.22", 5], ["10131.25", 5], ["10212.5", 5], ["10010.33", 4], ["10056.25", 4], ["10047.52", 4]]</x:v>
      </x:c>
    </x:row>
    <x:row r="35">
      <x:c r="A35" s="21" t="str">
        <x:v>PRBD01N001</x:v>
      </x:c>
      <x:c r="B35" s="21" t="str">
        <x:v>APPLIED_YIELD</x:v>
      </x:c>
      <x:c r="C35" s="21" t="str">
        <x:v>double precision</x:v>
      </x:c>
      <x:c r="D35" s="21" t="str"/>
      <x:c r="E35" s="21" t="str"/>
      <x:c r="F35" s="29" t="str">
        <x:v>42394</x:v>
      </x:c>
      <x:c r="G35" s="29" t="str">
        <x:v>31823</x:v>
      </x:c>
      <x:c r="H35" s="31" t="str">
        <x:v>0.750649</x:v>
      </x:c>
      <x:c r="I35" s="29" t="str">
        <x:v>10571</x:v>
      </x:c>
      <x:c r="J35" s="29" t="str">
        <x:v>0</x:v>
      </x:c>
      <x:c r="K35" s="29" t="str">
        <x:v>0</x:v>
      </x:c>
      <x:c r="L35" s="29" t="str">
        <x:v>31823</x:v>
      </x:c>
      <x:c r="M35" s="29" t="str">
        <x:v>1289</x:v>
      </x:c>
      <x:c r="N35" s="29" t="str">
        <x:v>2</x:v>
      </x:c>
      <x:c r="O35" s="29" t="str">
        <x:v>3851</x:v>
      </x:c>
      <x:c r="P35" s="29" t="str">
        <x:v>-0.415</x:v>
      </x:c>
      <x:c r="Q35" s="29" t="str">
        <x:v>787.327</x:v>
      </x:c>
      <x:c r="R35" s="21" t="str"/>
      <x:c r="S35" s="21" t="str"/>
      <x:c r="T35" s="21" t="str">
        <x:v>[2.834, 2.821, 2.703]</x:v>
      </x:c>
      <x:c r="U35" s="21" t="str">
        <x:v>[["0", 1289], ["2.942", 46], ["3.605", 40], ["2.868", 37], ["2.94", 37], ["2.77", 34], ["2.495", 34], ["2.572", 33], ["2.814", 33], ["2.585", 33]]</x:v>
      </x:c>
    </x:row>
    <x:row r="36">
      <x:c r="A36" s="21" t="str">
        <x:v>PRBD01N001</x:v>
      </x:c>
      <x:c r="B36" s="21" t="str">
        <x:v>DIRTY</x:v>
      </x:c>
      <x:c r="C36" s="21" t="str">
        <x:v>double precision</x:v>
      </x:c>
      <x:c r="D36" s="21" t="str"/>
      <x:c r="E36" s="21" t="str"/>
      <x:c r="F36" s="29" t="str">
        <x:v>42394</x:v>
      </x:c>
      <x:c r="G36" s="29" t="str">
        <x:v>29018</x:v>
      </x:c>
      <x:c r="H36" s="31" t="str">
        <x:v>0.684484</x:v>
      </x:c>
      <x:c r="I36" s="29" t="str">
        <x:v>13376</x:v>
      </x:c>
      <x:c r="J36" s="29" t="str">
        <x:v>0</x:v>
      </x:c>
      <x:c r="K36" s="29" t="str">
        <x:v>0</x:v>
      </x:c>
      <x:c r="L36" s="29" t="str">
        <x:v>29018</x:v>
      </x:c>
      <x:c r="M36" s="29" t="str">
        <x:v>10</x:v>
      </x:c>
      <x:c r="N36" s="29" t="str">
        <x:v>0</x:v>
      </x:c>
      <x:c r="O36" s="29" t="str">
        <x:v>&gt;10000</x:v>
      </x:c>
      <x:c r="P36" s="29" t="str">
        <x:v>0</x:v>
      </x:c>
      <x:c r="Q36" s="29" t="str">
        <x:v>77323.08</x:v>
      </x:c>
      <x:c r="R36" s="21" t="str"/>
      <x:c r="S36" s="21" t="str"/>
      <x:c r="T36" s="21" t="str">
        <x:v>[10510, 10507.27, 10484.57]</x:v>
      </x:c>
      <x:c r="U36" s="21" t="str">
        <x:v>[["10000", 733], ["10510", 13], ["10112.5", 13], ["0", 10], ["10212.5", 6], ["9983.22", 5], ["10131.25", 5], ["10137.5", 4], ["10010.33", 4], ["10056.25", 4]]</x:v>
      </x:c>
    </x:row>
    <x:row r="37">
      <x:c r="A37" s="21" t="str">
        <x:v>PRBD01N001</x:v>
      </x:c>
      <x:c r="B37" s="21" t="str">
        <x:v>NDY_EVAL_PRICE</x:v>
      </x:c>
      <x:c r="C37" s="21" t="str">
        <x:v>double precision</x:v>
      </x:c>
      <x:c r="D37" s="21" t="str"/>
      <x:c r="E37" s="21" t="str"/>
      <x:c r="F37" s="29" t="str">
        <x:v>42394</x:v>
      </x:c>
      <x:c r="G37" s="29" t="str">
        <x:v>29018</x:v>
      </x:c>
      <x:c r="H37" s="31" t="str">
        <x:v>0.684484</x:v>
      </x:c>
      <x:c r="I37" s="29" t="str">
        <x:v>13376</x:v>
      </x:c>
      <x:c r="J37" s="29" t="str">
        <x:v>0</x:v>
      </x:c>
      <x:c r="K37" s="29" t="str">
        <x:v>0</x:v>
      </x:c>
      <x:c r="L37" s="29" t="str">
        <x:v>29018</x:v>
      </x:c>
      <x:c r="M37" s="29" t="str">
        <x:v>8505</x:v>
      </x:c>
      <x:c r="N37" s="29" t="str">
        <x:v>0</x:v>
      </x:c>
      <x:c r="O37" s="29" t="str">
        <x:v>&gt;10000</x:v>
      </x:c>
      <x:c r="P37" s="29" t="str">
        <x:v>0</x:v>
      </x:c>
      <x:c r="Q37" s="29" t="str">
        <x:v>77342.91</x:v>
      </x:c>
      <x:c r="R37" s="21" t="str"/>
      <x:c r="S37" s="21" t="str"/>
      <x:c r="T37" s="21" t="str">
        <x:v>[0, 10508, 10485.29]</x:v>
      </x:c>
      <x:c r="U37" s="21" t="str">
        <x:v>[["0", 8505], ["10007.07", 4], ["10003.48", 3], ["10067.79", 3], ["10034.32", 3], ["10048.42", 3], ["10419.17", 2], ["10073.74", 2], ["10024.47", 2], ["10065.92", 2]]</x:v>
      </x:c>
    </x:row>
    <x:row r="38">
      <x:c r="A38" s="21" t="str">
        <x:v>PRBD01N001</x:v>
      </x:c>
      <x:c r="B38" s="21" t="str">
        <x:v>NDY_APPLIED_YIELD</x:v>
      </x:c>
      <x:c r="C38" s="21" t="str">
        <x:v>double precision</x:v>
      </x:c>
      <x:c r="D38" s="21" t="str"/>
      <x:c r="E38" s="21" t="str"/>
      <x:c r="F38" s="29" t="str">
        <x:v>42394</x:v>
      </x:c>
      <x:c r="G38" s="29" t="str">
        <x:v>29018</x:v>
      </x:c>
      <x:c r="H38" s="31" t="str">
        <x:v>0.684484</x:v>
      </x:c>
      <x:c r="I38" s="29" t="str">
        <x:v>13376</x:v>
      </x:c>
      <x:c r="J38" s="29" t="str">
        <x:v>0</x:v>
      </x:c>
      <x:c r="K38" s="29" t="str">
        <x:v>0</x:v>
      </x:c>
      <x:c r="L38" s="29" t="str">
        <x:v>29018</x:v>
      </x:c>
      <x:c r="M38" s="29" t="str">
        <x:v>8869</x:v>
      </x:c>
      <x:c r="N38" s="29" t="str">
        <x:v>1</x:v>
      </x:c>
      <x:c r="O38" s="29" t="str">
        <x:v>2944</x:v>
      </x:c>
      <x:c r="P38" s="29" t="str">
        <x:v>-0.295</x:v>
      </x:c>
      <x:c r="Q38" s="29" t="str">
        <x:v>787.327</x:v>
      </x:c>
      <x:c r="R38" s="21" t="str"/>
      <x:c r="S38" s="21" t="str"/>
      <x:c r="T38" s="21" t="str">
        <x:v>[0, 2.521, 2.529]</x:v>
      </x:c>
      <x:c r="U38" s="21" t="str">
        <x:v>[["0", 8869], ["2.942", 42], ["3.537", 38], ["3.605", 37], ["3.213", 36], ["3.407", 32], ["2.868", 30], ["3.621", 30], ["2.814", 29], ["3.497", 28]]</x:v>
      </x:c>
    </x:row>
    <x:row r="39">
      <x:c r="A39" s="21" t="str">
        <x:v>PRBD01N001</x:v>
      </x:c>
      <x:c r="B39" s="21" t="str">
        <x:v>NDY_DIRTY</x:v>
      </x:c>
      <x:c r="C39" s="21" t="str">
        <x:v>double precision</x:v>
      </x:c>
      <x:c r="D39" s="21" t="str"/>
      <x:c r="E39" s="21" t="str"/>
      <x:c r="F39" s="29" t="str">
        <x:v>42394</x:v>
      </x:c>
      <x:c r="G39" s="29" t="str">
        <x:v>29018</x:v>
      </x:c>
      <x:c r="H39" s="31" t="str">
        <x:v>0.684484</x:v>
      </x:c>
      <x:c r="I39" s="29" t="str">
        <x:v>13376</x:v>
      </x:c>
      <x:c r="J39" s="29" t="str">
        <x:v>0</x:v>
      </x:c>
      <x:c r="K39" s="29" t="str">
        <x:v>0</x:v>
      </x:c>
      <x:c r="L39" s="29" t="str">
        <x:v>29018</x:v>
      </x:c>
      <x:c r="M39" s="29" t="str">
        <x:v>8505</x:v>
      </x:c>
      <x:c r="N39" s="29" t="str">
        <x:v>0</x:v>
      </x:c>
      <x:c r="O39" s="29" t="str">
        <x:v>&gt;10000</x:v>
      </x:c>
      <x:c r="P39" s="29" t="str">
        <x:v>0</x:v>
      </x:c>
      <x:c r="Q39" s="29" t="str">
        <x:v>77342.91</x:v>
      </x:c>
      <x:c r="R39" s="21" t="str"/>
      <x:c r="S39" s="21" t="str"/>
      <x:c r="T39" s="21" t="str">
        <x:v>[0, 10508, 10485.29]</x:v>
      </x:c>
      <x:c r="U39" s="21" t="str">
        <x:v>[["0", 8505], ["10007.07", 4], ["10003.48", 3], ["10067.79", 3], ["10034.32", 3], ["10048.42", 3], ["10419.17", 2], ["10073.74", 2], ["10024.47", 2], ["10065.92", 2]]</x:v>
      </x:c>
    </x:row>
    <x:row r="40">
      <x:c r="A40" s="21" t="str">
        <x:v>PRBD01N001</x:v>
      </x:c>
      <x:c r="B40" s="21" t="str">
        <x:v>CRD_GRD</x:v>
      </x:c>
      <x:c r="C40" s="21" t="str">
        <x:v>text</x:v>
      </x:c>
      <x:c r="D40" s="21" t="str"/>
      <x:c r="E40" s="21" t="str"/>
      <x:c r="F40" s="29" t="str">
        <x:v>42394</x:v>
      </x:c>
      <x:c r="G40" s="29" t="str">
        <x:v>24750</x:v>
      </x:c>
      <x:c r="H40" s="31" t="str">
        <x:v>0.583809</x:v>
      </x:c>
      <x:c r="I40" s="29" t="str">
        <x:v>17644</x:v>
      </x:c>
      <x:c r="J40" s="29" t="str">
        <x:v>0</x:v>
      </x:c>
      <x:c r="K40" s="29" t="str">
        <x:v>0</x:v>
      </x:c>
      <x:c r="L40" s="29" t="str">
        <x:v>0</x:v>
      </x:c>
      <x:c r="M40" s="29" t="str">
        <x:v>0</x:v>
      </x:c>
      <x:c r="N40" s="29" t="str">
        <x:v>0</x:v>
      </x:c>
      <x:c r="O40" s="29" t="str">
        <x:v>20</x:v>
      </x:c>
      <x:c r="P40" s="29" t="str"/>
      <x:c r="Q40" s="29" t="str"/>
      <x:c r="R40" s="21" t="str"/>
      <x:c r="S40" s="21" t="str"/>
      <x:c r="T40" s="21" t="str">
        <x:v>["AAA", "AA+", "AA0"]</x:v>
      </x:c>
      <x:c r="U40" s="21" t="str">
        <x:v>[["AAA", 12240], ["AA-", 4939], ["AA+", 3191], ["AA0", 1713], ["A+", 906], ["A0", 904], ["A-", 345], ["BBB+", 206], ["C0", 137], ["BBB0", 116]]</x:v>
      </x:c>
    </x:row>
    <x:row r="41">
      <x:c r="A41" s="21" t="str">
        <x:v>PRBD01N001</x:v>
      </x:c>
      <x:c r="B41" s="21" t="str">
        <x:v>CRD_GRD_DT</x:v>
      </x:c>
      <x:c r="C41" s="21" t="str">
        <x:v>double precision</x:v>
      </x:c>
      <x:c r="D41" s="21" t="str"/>
      <x:c r="E41" s="21" t="str"/>
      <x:c r="F41" s="29" t="str">
        <x:v>42394</x:v>
      </x:c>
      <x:c r="G41" s="29" t="str">
        <x:v>27565</x:v>
      </x:c>
      <x:c r="H41" s="31" t="str">
        <x:v>0.65021</x:v>
      </x:c>
      <x:c r="I41" s="29" t="str">
        <x:v>14829</x:v>
      </x:c>
      <x:c r="J41" s="29" t="str">
        <x:v>0</x:v>
      </x:c>
      <x:c r="K41" s="29" t="str">
        <x:v>0</x:v>
      </x:c>
      <x:c r="L41" s="29" t="str">
        <x:v>27565</x:v>
      </x:c>
      <x:c r="M41" s="29" t="str">
        <x:v>2</x:v>
      </x:c>
      <x:c r="N41" s="29" t="str">
        <x:v>0</x:v>
      </x:c>
      <x:c r="O41" s="29" t="str">
        <x:v>2318</x:v>
      </x:c>
      <x:c r="P41" s="29" t="str">
        <x:v>0</x:v>
      </x:c>
      <x:c r="Q41" s="29" t="str">
        <x:v>20260609</x:v>
      </x:c>
      <x:c r="R41" s="21" t="str">
        <x:v>20071129</x:v>
      </x:c>
      <x:c r="S41" s="21" t="str">
        <x:v>20260609</x:v>
      </x:c>
      <x:c r="T41" s="21" t="str">
        <x:v>[20251113, 20260130, 20241025]</x:v>
      </x:c>
      <x:c r="U41" s="21" t="str">
        <x:v>[["20260130", 159], ["20250612", 133], ["20251106", 117], ["20250124", 116], ["20251113", 98], ["20241025", 86], ["20251024", 68], ["20250724", 67], ["20250421", 66], ["20260102", 63]]</x:v>
      </x:c>
    </x:row>
    <x:row r="42">
      <x:c r="A42" s="21" t="str">
        <x:v>PREF01N001</x:v>
      </x:c>
      <x:c r="B42" s="21" t="str">
        <x:v>cu_base_index</x:v>
      </x:c>
      <x:c r="C42" s="21" t="str">
        <x:v>text</x:v>
      </x:c>
      <x:c r="D42" s="21" t="str">
        <x:v>기초지수</x:v>
      </x:c>
      <x:c r="E42" s="21" t="str"/>
      <x:c r="F42" s="29" t="str">
        <x:v>1734</x:v>
      </x:c>
      <x:c r="G42" s="29" t="str">
        <x:v>58</x:v>
      </x:c>
      <x:c r="H42" s="31" t="str">
        <x:v>0.033449</x:v>
      </x:c>
      <x:c r="I42" s="29" t="str">
        <x:v>1676</x:v>
      </x:c>
      <x:c r="J42" s="29" t="str">
        <x:v>1551</x:v>
      </x:c>
      <x:c r="K42" s="29" t="str">
        <x:v>0</x:v>
      </x:c>
      <x:c r="L42" s="29" t="str">
        <x:v>0</x:v>
      </x:c>
      <x:c r="M42" s="29" t="str">
        <x:v>0</x:v>
      </x:c>
      <x:c r="N42" s="29" t="str">
        <x:v>0</x:v>
      </x:c>
      <x:c r="O42" s="29" t="str">
        <x:v>19</x:v>
      </x:c>
      <x:c r="P42" s="29" t="str"/>
      <x:c r="Q42" s="29" t="str"/>
      <x:c r="R42" s="21" t="str"/>
      <x:c r="S42" s="21" t="str"/>
      <x:c r="T42" s="21" t="str">
        <x:v>["종합채권 3개월~1년", "MSCI ACWI CR 50% + 종합채권01Y 50%", "KOSPI200"]</x:v>
      </x:c>
      <x:c r="U42" s="21" t="str">
        <x:v>[["종합채권 3개월~1년", 14], ["KOSPI200", 9], ["MSCI ACWI", 6], ["종합채권 1~2년", 6], ["MSCI NORTH AMERICA", 4], ["MSCI ACWI CR 50% + 종합채권01Y 50%", 3], ["MSCI ACWI Information Technology", 2], ["KAP CD 6개월  90%", 2], ["MSCI CHINA", 2], ["KRX 미디어통신", 1]]</x:v>
      </x:c>
    </x:row>
    <x:row r="43">
      <x:c r="A43" s="21" t="str">
        <x:v>PREF01N001</x:v>
      </x:c>
      <x:c r="B43" s="21" t="str">
        <x:v>cu_charge_etc_rt</x:v>
      </x:c>
      <x:c r="C43" s="21" t="str">
        <x:v>text</x:v>
      </x:c>
      <x:c r="D43" s="21" t="str">
        <x:v>기타비용요율</x:v>
      </x:c>
      <x:c r="E43" s="21" t="str"/>
      <x:c r="F43" s="29" t="str">
        <x:v>1734</x:v>
      </x:c>
      <x:c r="G43" s="29" t="str">
        <x:v>1553</x:v>
      </x:c>
      <x:c r="H43" s="31" t="str">
        <x:v>0.895617</x:v>
      </x:c>
      <x:c r="I43" s="29" t="str">
        <x:v>181</x:v>
      </x:c>
      <x:c r="J43" s="29" t="str">
        <x:v>0</x:v>
      </x:c>
      <x:c r="K43" s="29" t="str">
        <x:v>0</x:v>
      </x:c>
      <x:c r="L43" s="29" t="str">
        <x:v>1553</x:v>
      </x:c>
      <x:c r="M43" s="29" t="str">
        <x:v>1553</x:v>
      </x:c>
      <x:c r="N43" s="29" t="str">
        <x:v>0</x:v>
      </x:c>
      <x:c r="O43" s="29" t="str">
        <x:v>1</x:v>
      </x:c>
      <x:c r="P43" s="29" t="str">
        <x:v>0</x:v>
      </x:c>
      <x:c r="Q43" s="29" t="str">
        <x:v>0</x:v>
      </x:c>
      <x:c r="R43" s="21" t="str"/>
      <x:c r="S43" s="21" t="str"/>
      <x:c r="T43" s="21" t="str">
        <x:v>["0"]</x:v>
      </x:c>
      <x:c r="U43" s="21" t="str">
        <x:v>[["0", 1553]]</x:v>
      </x:c>
    </x:row>
    <x:row r="44">
      <x:c r="A44" s="21" t="str">
        <x:v>PREF01N001</x:v>
      </x:c>
      <x:c r="B44" s="21" t="str">
        <x:v>cu_charge_rt</x:v>
      </x:c>
      <x:c r="C44" s="21" t="str">
        <x:v>text</x:v>
      </x:c>
      <x:c r="D44" s="21" t="str">
        <x:v>총보수요율</x:v>
      </x:c>
      <x:c r="E44" s="21" t="str"/>
      <x:c r="F44" s="29" t="str">
        <x:v>1734</x:v>
      </x:c>
      <x:c r="G44" s="29" t="str">
        <x:v>217</x:v>
      </x:c>
      <x:c r="H44" s="31" t="str">
        <x:v>0.125144</x:v>
      </x:c>
      <x:c r="I44" s="29" t="str">
        <x:v>1517</x:v>
      </x:c>
      <x:c r="J44" s="29" t="str">
        <x:v>0</x:v>
      </x:c>
      <x:c r="K44" s="29" t="str">
        <x:v>0</x:v>
      </x:c>
      <x:c r="L44" s="29" t="str">
        <x:v>217</x:v>
      </x:c>
      <x:c r="M44" s="29" t="str">
        <x:v>150</x:v>
      </x:c>
      <x:c r="N44" s="29" t="str">
        <x:v>0</x:v>
      </x:c>
      <x:c r="O44" s="29" t="str">
        <x:v>17</x:v>
      </x:c>
      <x:c r="P44" s="29" t="str">
        <x:v>0</x:v>
      </x:c>
      <x:c r="Q44" s="29" t="str">
        <x:v>0.64</x:v>
      </x:c>
      <x:c r="R44" s="21" t="str"/>
      <x:c r="S44" s="21" t="str"/>
      <x:c r="T44" s="21" t="str">
        <x:v>["0.49", "0", "0.4"]</x:v>
      </x:c>
      <x:c r="U44" s="21" t="str">
        <x:v>[["0", 150], ["0.4", 21], ["0.49", 19], ["0.52", 10], ["0.15", 4], ["0.35", 2], ["0.08", 1], ["0.59", 1], ["0.1", 1], ["0.19", 1]]</x:v>
      </x:c>
    </x:row>
    <x:row r="45">
      <x:c r="A45" s="21" t="str">
        <x:v>PREF01N001</x:v>
      </x:c>
      <x:c r="B45" s="21" t="str">
        <x:v>cu_fund_mgmt_co</x:v>
      </x:c>
      <x:c r="C45" s="21" t="str">
        <x:v>text</x:v>
      </x:c>
      <x:c r="D45" s="21" t="str">
        <x:v>운용사</x:v>
      </x:c>
      <x:c r="E45" s="21" t="str"/>
      <x:c r="F45" s="29" t="str">
        <x:v>1734</x:v>
      </x:c>
      <x:c r="G45" s="29" t="str">
        <x:v>1734</x:v>
      </x:c>
      <x:c r="H45" s="31" t="str">
        <x:v>1.0</x:v>
      </x:c>
      <x:c r="I45" s="29" t="str">
        <x:v>0</x:v>
      </x:c>
      <x:c r="J45" s="29" t="str">
        <x:v>0</x:v>
      </x:c>
      <x:c r="K45" s="29" t="str">
        <x:v>0</x:v>
      </x:c>
      <x:c r="L45" s="29" t="str">
        <x:v>0</x:v>
      </x:c>
      <x:c r="M45" s="29" t="str">
        <x:v>0</x:v>
      </x:c>
      <x:c r="N45" s="29" t="str">
        <x:v>0</x:v>
      </x:c>
      <x:c r="O45" s="29" t="str">
        <x:v>97</x:v>
      </x:c>
      <x:c r="P45" s="29" t="str"/>
      <x:c r="Q45" s="29" t="str"/>
      <x:c r="R45" s="21" t="str"/>
      <x:c r="S45" s="21" t="str"/>
      <x:c r="T45" s="21" t="str">
        <x:v>["미래에셋", "키움증권(주)", "NH-Amundi"]</x:v>
      </x:c>
      <x:c r="U45" s="21" t="str">
        <x:v>[["삼성", 224], ["미래에셋", 193], ["KB", 147], ["한국투자", 114], ["메리츠증권 주식회사", 92], ["한화", 86], ["신한", 80], ["키움", 77], ["신한투자증권 주식회사", 71], ["한국투자증권(주)", 70]]</x:v>
      </x:c>
    </x:row>
    <x:row r="46">
      <x:c r="A46" s="21" t="str">
        <x:v>PREF01N001</x:v>
      </x:c>
      <x:c r="B46" s="21" t="str">
        <x:v>cu_lev_fector</x:v>
      </x:c>
      <x:c r="C46" s="21" t="str">
        <x:v>text</x:v>
      </x:c>
      <x:c r="D46" s="21" t="str">
        <x:v>배수</x:v>
      </x:c>
      <x:c r="E46" s="21" t="str"/>
      <x:c r="F46" s="29" t="str">
        <x:v>1734</x:v>
      </x:c>
      <x:c r="G46" s="29" t="str">
        <x:v>1551</x:v>
      </x:c>
      <x:c r="H46" s="31" t="str">
        <x:v>0.894464</x:v>
      </x:c>
      <x:c r="I46" s="29" t="str">
        <x:v>183</x:v>
      </x:c>
      <x:c r="J46" s="29" t="str">
        <x:v>0</x:v>
      </x:c>
      <x:c r="K46" s="29" t="str">
        <x:v>0</x:v>
      </x:c>
      <x:c r="L46" s="29" t="str">
        <x:v>1551</x:v>
      </x:c>
      <x:c r="M46" s="29" t="str">
        <x:v>0</x:v>
      </x:c>
      <x:c r="N46" s="29" t="str">
        <x:v>181</x:v>
      </x:c>
      <x:c r="O46" s="29" t="str">
        <x:v>9</x:v>
      </x:c>
      <x:c r="P46" s="29" t="str">
        <x:v>-3</x:v>
      </x:c>
      <x:c r="Q46" s="29" t="str">
        <x:v>3</x:v>
      </x:c>
      <x:c r="R46" s="21" t="str"/>
      <x:c r="S46" s="21" t="str"/>
      <x:c r="T46" s="21" t="str">
        <x:v>["1", "2", "-2"]</x:v>
      </x:c>
      <x:c r="U46" s="21" t="str">
        <x:v>[["1", 1169], ["2", 190], ["-2", 105], ["-1", 65], ["3", 9], ["-3", 7], ["-0.5", 3], ["1.5", 2], ["-1.5", 1]]</x:v>
      </x:c>
    </x:row>
    <x:row r="47">
      <x:c r="A47" s="21" t="str">
        <x:v>PREF01N001</x:v>
      </x:c>
      <x:c r="B47" s="21" t="str">
        <x:v>cu_strtegy</x:v>
      </x:c>
      <x:c r="C47" s="21" t="str">
        <x:v>text</x:v>
      </x:c>
      <x:c r="D47" s="21" t="str">
        <x:v>운용전략</x:v>
      </x:c>
      <x:c r="E47" s="21" t="str"/>
      <x:c r="F47" s="29" t="str">
        <x:v>1734</x:v>
      </x:c>
      <x:c r="G47" s="29" t="str">
        <x:v>1579</x:v>
      </x:c>
      <x:c r="H47" s="31" t="str">
        <x:v>0.910611</x:v>
      </x:c>
      <x:c r="I47" s="29" t="str">
        <x:v>155</x:v>
      </x:c>
      <x:c r="J47" s="29" t="str">
        <x:v>0</x:v>
      </x:c>
      <x:c r="K47" s="29" t="str">
        <x:v>0</x:v>
      </x:c>
      <x:c r="L47" s="29" t="str">
        <x:v>0</x:v>
      </x:c>
      <x:c r="M47" s="29" t="str">
        <x:v>0</x:v>
      </x:c>
      <x:c r="N47" s="29" t="str">
        <x:v>0</x:v>
      </x:c>
      <x:c r="O47" s="29" t="str">
        <x:v>4</x:v>
      </x:c>
      <x:c r="P47" s="29" t="str"/>
      <x:c r="Q47" s="29" t="str"/>
      <x:c r="R47" s="21" t="str"/>
      <x:c r="S47" s="21" t="str"/>
      <x:c r="T47" s="21" t="str">
        <x:v>["실물복제", "C", "합성복제"]</x:v>
      </x:c>
      <x:c r="U47" s="21" t="str">
        <x:v>[["실물복제", 745], ["C", 409], ["액티브", 343], ["합성복제", 82]]</x:v>
      </x:c>
    </x:row>
    <x:row r="48">
      <x:c r="A48" s="21" t="str">
        <x:v>PREF01N001</x:v>
      </x:c>
      <x:c r="B48" s="21" t="str">
        <x:v>cu_upt_dt</x:v>
      </x:c>
      <x:c r="C48" s="21" t="str">
        <x:v>text</x:v>
      </x:c>
      <x:c r="D48" s="21" t="str">
        <x:v>변동갱신일자</x:v>
      </x:c>
      <x:c r="E48" s="21" t="str"/>
      <x:c r="F48" s="29" t="str">
        <x:v>1734</x:v>
      </x:c>
      <x:c r="G48" s="29" t="str">
        <x:v>1551</x:v>
      </x:c>
      <x:c r="H48" s="31" t="str">
        <x:v>0.894464</x:v>
      </x:c>
      <x:c r="I48" s="29" t="str">
        <x:v>183</x:v>
      </x:c>
      <x:c r="J48" s="29" t="str">
        <x:v>0</x:v>
      </x:c>
      <x:c r="K48" s="29" t="str">
        <x:v>0</x:v>
      </x:c>
      <x:c r="L48" s="29" t="str">
        <x:v>1551</x:v>
      </x:c>
      <x:c r="M48" s="29" t="str">
        <x:v>0</x:v>
      </x:c>
      <x:c r="N48" s="29" t="str">
        <x:v>0</x:v>
      </x:c>
      <x:c r="O48" s="29" t="str">
        <x:v>11</x:v>
      </x:c>
      <x:c r="P48" s="29" t="str">
        <x:v>20260409</x:v>
      </x:c>
      <x:c r="Q48" s="29" t="str">
        <x:v>20260615</x:v>
      </x:c>
      <x:c r="R48" s="21" t="str">
        <x:v>20260409</x:v>
      </x:c>
      <x:c r="S48" s="21" t="str">
        <x:v>20260615</x:v>
      </x:c>
      <x:c r="T48" s="21" t="str">
        <x:v>["20260615", "20260511", "20260429"]</x:v>
      </x:c>
      <x:c r="U48" s="21" t="str">
        <x:v>[["20260615", 1517], ["20260520", 8], ["20260601", 5], ["20260511", 4], ["20260429", 4], ["20260522", 4], ["20260420", 3], ["20260608", 2], ["20260409", 2], ["20260421", 1]]</x:v>
      </x:c>
    </x:row>
    <x:row r="49">
      <x:c r="A49" s="21" t="str">
        <x:v>PREF01N001</x:v>
      </x:c>
      <x:c r="B49" s="21" t="str">
        <x:v>du_bpr</x:v>
      </x:c>
      <x:c r="C49" s="21" t="str">
        <x:v>numeric</x:v>
      </x:c>
      <x:c r="D49" s="21" t="str">
        <x:v>기준가</x:v>
      </x:c>
      <x:c r="E49" s="21" t="str">
        <x:v>9915.00</x:v>
      </x:c>
      <x:c r="F49" s="29" t="str">
        <x:v>1734</x:v>
      </x:c>
      <x:c r="G49" s="29" t="str">
        <x:v>1729</x:v>
      </x:c>
      <x:c r="H49" s="31" t="str">
        <x:v>0.997116</x:v>
      </x:c>
      <x:c r="I49" s="29" t="str">
        <x:v>5</x:v>
      </x:c>
      <x:c r="J49" s="29" t="str">
        <x:v>0</x:v>
      </x:c>
      <x:c r="K49" s="29" t="str">
        <x:v>0</x:v>
      </x:c>
      <x:c r="L49" s="29" t="str">
        <x:v>1729</x:v>
      </x:c>
      <x:c r="M49" s="29" t="str">
        <x:v>168</x:v>
      </x:c>
      <x:c r="N49" s="29" t="str">
        <x:v>0</x:v>
      </x:c>
      <x:c r="O49" s="29" t="str">
        <x:v>1403</x:v>
      </x:c>
      <x:c r="P49" s="29" t="str">
        <x:v>0.00</x:v>
      </x:c>
      <x:c r="Q49" s="29" t="str">
        <x:v>1074750.00</x:v>
      </x:c>
      <x:c r="R49" s="21" t="str"/>
      <x:c r="S49" s="21" t="str"/>
      <x:c r="T49" s="21" t="str">
        <x:v>["13675.00", "7990.00", "7860.00"]</x:v>
      </x:c>
      <x:c r="U49" s="21" t="str">
        <x:v>[["0.00", 168], ["12985.00", 3], ["11910.00", 3], ["14385.00", 3], ["15670.00", 3], ["8450.00", 3], ["15970.00", 3], ["10080.00", 3], ["11715.00", 3], ["7455.00", 2]]</x:v>
      </x:c>
    </x:row>
    <x:row r="50">
      <x:c r="A50" s="21" t="str">
        <x:v>PREF01N001</x:v>
      </x:c>
      <x:c r="B50" s="21" t="str">
        <x:v>du_chas_errt</x:v>
      </x:c>
      <x:c r="C50" s="21" t="str">
        <x:v>numeric</x:v>
      </x:c>
      <x:c r="D50" s="21" t="str">
        <x:v>추적오차율</x:v>
      </x:c>
      <x:c r="E50" s="21" t="str">
        <x:v>0.26</x:v>
      </x:c>
      <x:c r="F50" s="29" t="str">
        <x:v>1734</x:v>
      </x:c>
      <x:c r="G50" s="29" t="str">
        <x:v>1551</x:v>
      </x:c>
      <x:c r="H50" s="31" t="str">
        <x:v>0.894464</x:v>
      </x:c>
      <x:c r="I50" s="29" t="str">
        <x:v>183</x:v>
      </x:c>
      <x:c r="J50" s="29" t="str">
        <x:v>0</x:v>
      </x:c>
      <x:c r="K50" s="29" t="str">
        <x:v>0</x:v>
      </x:c>
      <x:c r="L50" s="29" t="str">
        <x:v>1551</x:v>
      </x:c>
      <x:c r="M50" s="29" t="str">
        <x:v>1551</x:v>
      </x:c>
      <x:c r="N50" s="29" t="str">
        <x:v>0</x:v>
      </x:c>
      <x:c r="O50" s="29" t="str">
        <x:v>1</x:v>
      </x:c>
      <x:c r="P50" s="29" t="str">
        <x:v>0.00</x:v>
      </x:c>
      <x:c r="Q50" s="29" t="str">
        <x:v>0.00</x:v>
      </x:c>
      <x:c r="R50" s="21" t="str"/>
      <x:c r="S50" s="21" t="str"/>
      <x:c r="T50" s="21" t="str">
        <x:v>["0.00"]</x:v>
      </x:c>
      <x:c r="U50" s="21" t="str">
        <x:v>[["0.00", 1551]]</x:v>
      </x:c>
    </x:row>
    <x:row r="51">
      <x:c r="A51" s="21" t="str">
        <x:v>PREF01N001</x:v>
      </x:c>
      <x:c r="B51" s="21" t="str">
        <x:v>du_clpr</x:v>
      </x:c>
      <x:c r="C51" s="21" t="str">
        <x:v>numeric</x:v>
      </x:c>
      <x:c r="D51" s="21" t="str">
        <x:v>종가</x:v>
      </x:c>
      <x:c r="E51" s="21" t="str">
        <x:v>9915.00</x:v>
      </x:c>
      <x:c r="F51" s="29" t="str">
        <x:v>1734</x:v>
      </x:c>
      <x:c r="G51" s="29" t="str">
        <x:v>1729</x:v>
      </x:c>
      <x:c r="H51" s="31" t="str">
        <x:v>0.997116</x:v>
      </x:c>
      <x:c r="I51" s="29" t="str">
        <x:v>5</x:v>
      </x:c>
      <x:c r="J51" s="29" t="str">
        <x:v>0</x:v>
      </x:c>
      <x:c r="K51" s="29" t="str">
        <x:v>0</x:v>
      </x:c>
      <x:c r="L51" s="29" t="str">
        <x:v>1729</x:v>
      </x:c>
      <x:c r="M51" s="29" t="str">
        <x:v>167</x:v>
      </x:c>
      <x:c r="N51" s="29" t="str">
        <x:v>0</x:v>
      </x:c>
      <x:c r="O51" s="29" t="str">
        <x:v>1415</x:v>
      </x:c>
      <x:c r="P51" s="29" t="str">
        <x:v>0.00</x:v>
      </x:c>
      <x:c r="Q51" s="29" t="str">
        <x:v>1074835.00</x:v>
      </x:c>
      <x:c r="R51" s="21" t="str"/>
      <x:c r="S51" s="21" t="str"/>
      <x:c r="T51" s="21" t="str">
        <x:v>["13615.00", "8160.00", "7865.00"]</x:v>
      </x:c>
      <x:c r="U51" s="21" t="str">
        <x:v>[["0.00", 167], ["10100.00", 4], ["10675.00", 4], ["13850.00", 3], ["8570.00", 3], ["2330.00", 3], ["18450.00", 3], ["7155.00", 2], ["13075.00", 2], ["11915.00", 2]]</x:v>
      </x:c>
    </x:row>
    <x:row r="52">
      <x:c r="A52" s="21" t="str">
        <x:v>PREF01N001</x:v>
      </x:c>
      <x:c r="B52" s="21" t="str">
        <x:v>du_diff_rt</x:v>
      </x:c>
      <x:c r="C52" s="21" t="str">
        <x:v>numeric</x:v>
      </x:c>
      <x:c r="D52" s="21" t="str">
        <x:v>괴리율</x:v>
      </x:c>
      <x:c r="E52" s="21" t="str">
        <x:v>1.44</x:v>
      </x:c>
      <x:c r="F52" s="29" t="str">
        <x:v>1734</x:v>
      </x:c>
      <x:c r="G52" s="29" t="str">
        <x:v>1517</x:v>
      </x:c>
      <x:c r="H52" s="31" t="str">
        <x:v>0.874856</x:v>
      </x:c>
      <x:c r="I52" s="29" t="str">
        <x:v>217</x:v>
      </x:c>
      <x:c r="J52" s="29" t="str">
        <x:v>0</x:v>
      </x:c>
      <x:c r="K52" s="29" t="str">
        <x:v>0</x:v>
      </x:c>
      <x:c r="L52" s="29" t="str">
        <x:v>1517</x:v>
      </x:c>
      <x:c r="M52" s="29" t="str">
        <x:v>1517</x:v>
      </x:c>
      <x:c r="N52" s="29" t="str">
        <x:v>0</x:v>
      </x:c>
      <x:c r="O52" s="29" t="str">
        <x:v>1</x:v>
      </x:c>
      <x:c r="P52" s="29" t="str">
        <x:v>0.00</x:v>
      </x:c>
      <x:c r="Q52" s="29" t="str">
        <x:v>0.00</x:v>
      </x:c>
      <x:c r="R52" s="21" t="str"/>
      <x:c r="S52" s="21" t="str"/>
      <x:c r="T52" s="21" t="str">
        <x:v>["0.00"]</x:v>
      </x:c>
      <x:c r="U52" s="21" t="str">
        <x:v>[["0.00", 1517]]</x:v>
      </x:c>
    </x:row>
    <x:row r="53">
      <x:c r="A53" s="21" t="str">
        <x:v>PREF01N001</x:v>
      </x:c>
      <x:c r="B53" s="21" t="str">
        <x:v>du_er_1d</x:v>
      </x:c>
      <x:c r="C53" s="21" t="str">
        <x:v>numeric</x:v>
      </x:c>
      <x:c r="D53" s="21" t="str">
        <x:v>수익률_1D</x:v>
      </x:c>
      <x:c r="E53" s="21" t="str">
        <x:v>-0.44</x:v>
      </x:c>
      <x:c r="F53" s="29" t="str">
        <x:v>1734</x:v>
      </x:c>
      <x:c r="G53" s="29" t="str">
        <x:v>1562</x:v>
      </x:c>
      <x:c r="H53" s="31" t="str">
        <x:v>0.900807</x:v>
      </x:c>
      <x:c r="I53" s="29" t="str">
        <x:v>172</x:v>
      </x:c>
      <x:c r="J53" s="29" t="str">
        <x:v>0</x:v>
      </x:c>
      <x:c r="K53" s="29" t="str">
        <x:v>0</x:v>
      </x:c>
      <x:c r="L53" s="29" t="str">
        <x:v>1562</x:v>
      </x:c>
      <x:c r="M53" s="29" t="str">
        <x:v>78</x:v>
      </x:c>
      <x:c r="N53" s="29" t="str">
        <x:v>311</x:v>
      </x:c>
      <x:c r="O53" s="29" t="str">
        <x:v>817</x:v>
      </x:c>
      <x:c r="P53" s="29" t="str">
        <x:v>-18.11</x:v>
      </x:c>
      <x:c r="Q53" s="29" t="str">
        <x:v>22.43</x:v>
      </x:c>
      <x:c r="R53" s="21" t="str"/>
      <x:c r="S53" s="21" t="str"/>
      <x:c r="T53" s="21" t="str">
        <x:v>["-0.44", "2.13", "0.06"]</x:v>
      </x:c>
      <x:c r="U53" s="21" t="str">
        <x:v>[["0.00", 78], ["0.01", 21], ["0.13", 8], ["0.83", 8], ["0.85", 8], ["1.06", 7], ["1.68", 6], ["1.04", 5], ["2.63", 5], ["5.60", 5]]</x:v>
      </x:c>
    </x:row>
    <x:row r="54">
      <x:c r="A54" s="21" t="str">
        <x:v>PREF01N001</x:v>
      </x:c>
      <x:c r="B54" s="21" t="str">
        <x:v>du_er_1m</x:v>
      </x:c>
      <x:c r="C54" s="21" t="str">
        <x:v>numeric</x:v>
      </x:c>
      <x:c r="D54" s="21" t="str">
        <x:v>수익률_1M</x:v>
      </x:c>
      <x:c r="E54" s="21" t="str">
        <x:v>0.58</x:v>
      </x:c>
      <x:c r="F54" s="29" t="str">
        <x:v>1734</x:v>
      </x:c>
      <x:c r="G54" s="29" t="str">
        <x:v>1540</x:v>
      </x:c>
      <x:c r="H54" s="31" t="str">
        <x:v>0.88812</x:v>
      </x:c>
      <x:c r="I54" s="29" t="str">
        <x:v>194</x:v>
      </x:c>
      <x:c r="J54" s="29" t="str">
        <x:v>0</x:v>
      </x:c>
      <x:c r="K54" s="29" t="str">
        <x:v>0</x:v>
      </x:c>
      <x:c r="L54" s="29" t="str">
        <x:v>1540</x:v>
      </x:c>
      <x:c r="M54" s="29" t="str">
        <x:v>54</x:v>
      </x:c>
      <x:c r="N54" s="29" t="str">
        <x:v>588</x:v>
      </x:c>
      <x:c r="O54" s="29" t="str">
        <x:v>1153</x:v>
      </x:c>
      <x:c r="P54" s="29" t="str">
        <x:v>-100.00</x:v>
      </x:c>
      <x:c r="Q54" s="29" t="str">
        <x:v>50.76</x:v>
      </x:c>
      <x:c r="R54" s="21" t="str"/>
      <x:c r="S54" s="21" t="str"/>
      <x:c r="T54" s="21" t="str">
        <x:v>["1.38", "-13.79", "-2.66"]</x:v>
      </x:c>
      <x:c r="U54" s="21" t="str">
        <x:v>[["0.00", 54], ["-100.00", 20], ["0.18", 10], ["0.23", 9], ["0.08", 6], ["0.85", 4], ["1.61", 4], ["0.25", 4], ["16.69", 4], ["1.10", 4]]</x:v>
      </x:c>
    </x:row>
    <x:row r="55">
      <x:c r="A55" s="21" t="str">
        <x:v>PREF01N001</x:v>
      </x:c>
      <x:c r="B55" s="21" t="str">
        <x:v>du_er_1y</x:v>
      </x:c>
      <x:c r="C55" s="21" t="str">
        <x:v>numeric</x:v>
      </x:c>
      <x:c r="D55" s="21" t="str">
        <x:v>수익률_1Y</x:v>
      </x:c>
      <x:c r="E55" s="21" t="str">
        <x:v>17.10</x:v>
      </x:c>
      <x:c r="F55" s="29" t="str">
        <x:v>1734</x:v>
      </x:c>
      <x:c r="G55" s="29" t="str">
        <x:v>1377</x:v>
      </x:c>
      <x:c r="H55" s="31" t="str">
        <x:v>0.794118</x:v>
      </x:c>
      <x:c r="I55" s="29" t="str">
        <x:v>357</x:v>
      </x:c>
      <x:c r="J55" s="29" t="str">
        <x:v>0</x:v>
      </x:c>
      <x:c r="K55" s="29" t="str">
        <x:v>0</x:v>
      </x:c>
      <x:c r="L55" s="29" t="str">
        <x:v>1377</x:v>
      </x:c>
      <x:c r="M55" s="29" t="str">
        <x:v>14</x:v>
      </x:c>
      <x:c r="N55" s="29" t="str">
        <x:v>404</x:v>
      </x:c>
      <x:c r="O55" s="29" t="str">
        <x:v>1219</x:v>
      </x:c>
      <x:c r="P55" s="29" t="str">
        <x:v>-100.00</x:v>
      </x:c>
      <x:c r="Q55" s="29" t="str">
        <x:v>2738.95</x:v>
      </x:c>
      <x:c r="R55" s="21" t="str"/>
      <x:c r="S55" s="21" t="str"/>
      <x:c r="T55" s="21" t="str">
        <x:v>["11.14", "-13.56", "-0.19"]</x:v>
      </x:c>
      <x:c r="U55" s="21" t="str">
        <x:v>[["-100.00", 98], ["0.00", 14], ["2.70", 3], ["-0.19", 2], ["-1.38", 2], ["38.98", 2], ["37.26", 2], ["-70.56", 2], ["25.38", 2], ["-0.26", 2]]</x:v>
      </x:c>
    </x:row>
    <x:row r="56">
      <x:c r="A56" s="21" t="str">
        <x:v>PREF01N001</x:v>
      </x:c>
      <x:c r="B56" s="21" t="str">
        <x:v>du_er_3m</x:v>
      </x:c>
      <x:c r="C56" s="21" t="str">
        <x:v>numeric</x:v>
      </x:c>
      <x:c r="D56" s="21" t="str">
        <x:v>수익률_3M</x:v>
      </x:c>
      <x:c r="E56" s="21" t="str">
        <x:v>-0.03</x:v>
      </x:c>
      <x:c r="F56" s="29" t="str">
        <x:v>1734</x:v>
      </x:c>
      <x:c r="G56" s="29" t="str">
        <x:v>1505</x:v>
      </x:c>
      <x:c r="H56" s="31" t="str">
        <x:v>0.867935</x:v>
      </x:c>
      <x:c r="I56" s="29" t="str">
        <x:v>229</x:v>
      </x:c>
      <x:c r="J56" s="29" t="str">
        <x:v>0</x:v>
      </x:c>
      <x:c r="K56" s="29" t="str">
        <x:v>0</x:v>
      </x:c>
      <x:c r="L56" s="29" t="str">
        <x:v>1505</x:v>
      </x:c>
      <x:c r="M56" s="29" t="str">
        <x:v>46</x:v>
      </x:c>
      <x:c r="N56" s="29" t="str">
        <x:v>487</x:v>
      </x:c>
      <x:c r="O56" s="29" t="str">
        <x:v>1250</x:v>
      </x:c>
      <x:c r="P56" s="29" t="str">
        <x:v>-100.00</x:v>
      </x:c>
      <x:c r="Q56" s="29" t="str">
        <x:v>350.19</x:v>
      </x:c>
      <x:c r="R56" s="21" t="str"/>
      <x:c r="S56" s="21" t="str"/>
      <x:c r="T56" s="21" t="str">
        <x:v>["0.63", "-29.32", "-4.09"]</x:v>
      </x:c>
      <x:c r="U56" s="21" t="str">
        <x:v>[["0.00", 46], ["-100.00", 37], ["0.63", 7], ["0.72", 6], ["0.71", 5], ["0.62", 4], ["0.04", 4], ["6.90", 3], ["-1.96", 3], ["2.74", 3]]</x:v>
      </x:c>
    </x:row>
    <x:row r="57">
      <x:c r="A57" s="21" t="str">
        <x:v>PREF01N001</x:v>
      </x:c>
      <x:c r="B57" s="21" t="str">
        <x:v>du_er_6m</x:v>
      </x:c>
      <x:c r="C57" s="21" t="str">
        <x:v>numeric</x:v>
      </x:c>
      <x:c r="D57" s="21" t="str">
        <x:v>수익률_6M</x:v>
      </x:c>
      <x:c r="E57" s="21" t="str">
        <x:v>9.41</x:v>
      </x:c>
      <x:c r="F57" s="29" t="str">
        <x:v>1734</x:v>
      </x:c>
      <x:c r="G57" s="29" t="str">
        <x:v>1476</x:v>
      </x:c>
      <x:c r="H57" s="31" t="str">
        <x:v>0.851211</x:v>
      </x:c>
      <x:c r="I57" s="29" t="str">
        <x:v>258</x:v>
      </x:c>
      <x:c r="J57" s="29" t="str">
        <x:v>0</x:v>
      </x:c>
      <x:c r="K57" s="29" t="str">
        <x:v>0</x:v>
      </x:c>
      <x:c r="L57" s="29" t="str">
        <x:v>1476</x:v>
      </x:c>
      <x:c r="M57" s="29" t="str">
        <x:v>35</x:v>
      </x:c>
      <x:c r="N57" s="29" t="str">
        <x:v>476</x:v>
      </x:c>
      <x:c r="O57" s="29" t="str">
        <x:v>1275</x:v>
      </x:c>
      <x:c r="P57" s="29" t="str">
        <x:v>-100.00</x:v>
      </x:c>
      <x:c r="Q57" s="29" t="str">
        <x:v>818.57</x:v>
      </x:c>
      <x:c r="R57" s="21" t="str"/>
      <x:c r="S57" s="21" t="str"/>
      <x:c r="T57" s="21" t="str">
        <x:v>["1.72", "-27.79", "-12.61"]</x:v>
      </x:c>
      <x:c r="U57" s="21" t="str">
        <x:v>[["-100.00", 53], ["0.00", 35], ["1.39", 5], ["1.40", 4], ["-0.24", 3], ["1.05", 3], ["1.64", 3], ["1.72", 2], ["4.01", 2], ["9.22", 2]]</x:v>
      </x:c>
    </x:row>
    <x:row r="58">
      <x:c r="A58" s="21" t="str">
        <x:v>PREF01N001</x:v>
      </x:c>
      <x:c r="B58" s="21" t="str">
        <x:v>du_er_ytd</x:v>
      </x:c>
      <x:c r="C58" s="21" t="str">
        <x:v>numeric</x:v>
      </x:c>
      <x:c r="D58" s="21" t="str">
        <x:v>수익률_YTD</x:v>
      </x:c>
      <x:c r="E58" s="21" t="str">
        <x:v>2.88</x:v>
      </x:c>
      <x:c r="F58" s="29" t="str">
        <x:v>1734</x:v>
      </x:c>
      <x:c r="G58" s="29" t="str">
        <x:v>1477</x:v>
      </x:c>
      <x:c r="H58" s="31" t="str">
        <x:v>0.851788</x:v>
      </x:c>
      <x:c r="I58" s="29" t="str">
        <x:v>257</x:v>
      </x:c>
      <x:c r="J58" s="29" t="str">
        <x:v>0</x:v>
      </x:c>
      <x:c r="K58" s="29" t="str">
        <x:v>0</x:v>
      </x:c>
      <x:c r="L58" s="29" t="str">
        <x:v>1477</x:v>
      </x:c>
      <x:c r="M58" s="29" t="str">
        <x:v>38</x:v>
      </x:c>
      <x:c r="N58" s="29" t="str">
        <x:v>443</x:v>
      </x:c>
      <x:c r="O58" s="29" t="str">
        <x:v>1281</x:v>
      </x:c>
      <x:c r="P58" s="29" t="str">
        <x:v>-100.00</x:v>
      </x:c>
      <x:c r="Q58" s="29" t="str">
        <x:v>701.69</x:v>
      </x:c>
      <x:c r="R58" s="21" t="str"/>
      <x:c r="S58" s="21" t="str"/>
      <x:c r="T58" s="21" t="str">
        <x:v>["3.54", "-26.65", "-11.78"]</x:v>
      </x:c>
      <x:c r="U58" s="21" t="str">
        <x:v>[["-100.00", 44], ["0.00", 38], ["1.14", 8], ["1.24", 6], ["1.27", 4], ["9.26", 3], ["9.73", 3], ["24.69", 2], ["42.07", 2], ["16.92", 2]]</x:v>
      </x:c>
    </x:row>
    <x:row r="59">
      <x:c r="A59" s="21" t="str">
        <x:v>PREF01N001</x:v>
      </x:c>
      <x:c r="B59" s="21" t="str">
        <x:v>du_hpr</x:v>
      </x:c>
      <x:c r="C59" s="21" t="str">
        <x:v>numeric</x:v>
      </x:c>
      <x:c r="D59" s="21" t="str">
        <x:v>고가</x:v>
      </x:c>
      <x:c r="E59" s="21" t="str">
        <x:v>9979.00</x:v>
      </x:c>
      <x:c r="F59" s="29" t="str">
        <x:v>1734</x:v>
      </x:c>
      <x:c r="G59" s="29" t="str">
        <x:v>1729</x:v>
      </x:c>
      <x:c r="H59" s="31" t="str">
        <x:v>0.997116</x:v>
      </x:c>
      <x:c r="I59" s="29" t="str">
        <x:v>5</x:v>
      </x:c>
      <x:c r="J59" s="29" t="str">
        <x:v>0</x:v>
      </x:c>
      <x:c r="K59" s="29" t="str">
        <x:v>0</x:v>
      </x:c>
      <x:c r="L59" s="29" t="str">
        <x:v>1729</x:v>
      </x:c>
      <x:c r="M59" s="29" t="str">
        <x:v>219</x:v>
      </x:c>
      <x:c r="N59" s="29" t="str">
        <x:v>0</x:v>
      </x:c>
      <x:c r="O59" s="29" t="str">
        <x:v>1387</x:v>
      </x:c>
      <x:c r="P59" s="29" t="str">
        <x:v>0.00</x:v>
      </x:c>
      <x:c r="Q59" s="29" t="str">
        <x:v>1074835.00</x:v>
      </x:c>
      <x:c r="R59" s="21" t="str"/>
      <x:c r="S59" s="21" t="str"/>
      <x:c r="T59" s="21" t="str">
        <x:v>["13650.00", "8230.00", "7935.00"]</x:v>
      </x:c>
      <x:c r="U59" s="21" t="str">
        <x:v>[["0.00", 219], ["10675.00", 3], ["21190.00", 2], ["11950.00", 2], ["14375.00", 2], ["17785.00", 2], ["12380.00", 2], ["18495.00", 2], ["10565.00", 2], ["17000.00", 2]]</x:v>
      </x:c>
    </x:row>
    <x:row r="60">
      <x:c r="A60" s="21" t="str">
        <x:v>PREF01N001</x:v>
      </x:c>
      <x:c r="B60" s="21" t="str">
        <x:v>du_last_aum</x:v>
      </x:c>
      <x:c r="C60" s="21" t="str">
        <x:v>numeric</x:v>
      </x:c>
      <x:c r="D60" s="21" t="str">
        <x:v>최종AUM</x:v>
      </x:c>
      <x:c r="E60" s="21" t="str">
        <x:v>60720672000.00</x:v>
      </x:c>
      <x:c r="F60" s="29" t="str">
        <x:v>1734</x:v>
      </x:c>
      <x:c r="G60" s="29" t="str">
        <x:v>1453</x:v>
      </x:c>
      <x:c r="H60" s="31" t="str">
        <x:v>0.837947</x:v>
      </x:c>
      <x:c r="I60" s="29" t="str">
        <x:v>281</x:v>
      </x:c>
      <x:c r="J60" s="29" t="str">
        <x:v>0</x:v>
      </x:c>
      <x:c r="K60" s="29" t="str">
        <x:v>0</x:v>
      </x:c>
      <x:c r="L60" s="29" t="str">
        <x:v>1453</x:v>
      </x:c>
      <x:c r="M60" s="29" t="str">
        <x:v>411</x:v>
      </x:c>
      <x:c r="N60" s="29" t="str">
        <x:v>0</x:v>
      </x:c>
      <x:c r="O60" s="29" t="str">
        <x:v>1043</x:v>
      </x:c>
      <x:c r="P60" s="29" t="str">
        <x:v>0.00</x:v>
      </x:c>
      <x:c r="Q60" s="29" t="str">
        <x:v>28359162742500.00</x:v>
      </x:c>
      <x:c r="R60" s="21" t="str"/>
      <x:c r="S60" s="21" t="str"/>
      <x:c r="T60" s="21" t="str">
        <x:v>["239236725000.00", "0.00", "708124075500.00"]</x:v>
      </x:c>
      <x:c r="U60" s="21" t="str">
        <x:v>[["0.00", 411], ["239236725000.00", 1], ["708124075500.00", 1], ["16744960000.00", 1], ["1870904184000.00", 1], ["143865856000.00", 1], ["36630110000.00", 1], ["18140234000.00", 1], ["160385733000.00", 1], ["127408950000.00", 1]]</x:v>
      </x:c>
    </x:row>
    <x:row r="61">
      <x:c r="A61" s="21" t="str">
        <x:v>PREF01N001</x:v>
      </x:c>
      <x:c r="B61" s="21" t="str">
        <x:v>du_last_nav</x:v>
      </x:c>
      <x:c r="C61" s="21" t="str">
        <x:v>numeric</x:v>
      </x:c>
      <x:c r="D61" s="21" t="str">
        <x:v>최종NAV</x:v>
      </x:c>
      <x:c r="E61" s="21" t="str">
        <x:v>9873.28</x:v>
      </x:c>
      <x:c r="F61" s="29" t="str">
        <x:v>1734</x:v>
      </x:c>
      <x:c r="G61" s="29" t="str">
        <x:v>1551</x:v>
      </x:c>
      <x:c r="H61" s="31" t="str">
        <x:v>0.894464</x:v>
      </x:c>
      <x:c r="I61" s="29" t="str">
        <x:v>183</x:v>
      </x:c>
      <x:c r="J61" s="29" t="str">
        <x:v>0</x:v>
      </x:c>
      <x:c r="K61" s="29" t="str">
        <x:v>0</x:v>
      </x:c>
      <x:c r="L61" s="29" t="str">
        <x:v>1551</x:v>
      </x:c>
      <x:c r="M61" s="29" t="str">
        <x:v>0</x:v>
      </x:c>
      <x:c r="N61" s="29" t="str">
        <x:v>0</x:v>
      </x:c>
      <x:c r="O61" s="29" t="str">
        <x:v>1537</x:v>
      </x:c>
      <x:c r="P61" s="29" t="str">
        <x:v>14.55</x:v>
      </x:c>
      <x:c r="Q61" s="29" t="str">
        <x:v>1074635.23</x:v>
      </x:c>
      <x:c r="R61" s="21" t="str"/>
      <x:c r="S61" s="21" t="str"/>
      <x:c r="T61" s="21" t="str">
        <x:v>["13670.67", "8145.34", "7777.31"]</x:v>
      </x:c>
      <x:c r="U61" s="21" t="str">
        <x:v>[["13380.73", 2], ["1506.50", 2], ["42266.46", 2], ["13670.67", 1], ["8145.34", 1], ["7777.31", 1], ["20931.20", 1], ["96438.36", 1], ["7114.34", 1], ["44958.08", 1]]</x:v>
      </x:c>
    </x:row>
    <x:row r="62">
      <x:c r="A62" s="21" t="str">
        <x:v>PREF01N001</x:v>
      </x:c>
      <x:c r="B62" s="21" t="str">
        <x:v>du_lpr</x:v>
      </x:c>
      <x:c r="C62" s="21" t="str">
        <x:v>numeric</x:v>
      </x:c>
      <x:c r="D62" s="21" t="str">
        <x:v>시가</x:v>
      </x:c>
      <x:c r="E62" s="21" t="str">
        <x:v>9905.00</x:v>
      </x:c>
      <x:c r="F62" s="29" t="str">
        <x:v>1734</x:v>
      </x:c>
      <x:c r="G62" s="29" t="str">
        <x:v>1729</x:v>
      </x:c>
      <x:c r="H62" s="31" t="str">
        <x:v>0.997116</x:v>
      </x:c>
      <x:c r="I62" s="29" t="str">
        <x:v>5</x:v>
      </x:c>
      <x:c r="J62" s="29" t="str">
        <x:v>0</x:v>
      </x:c>
      <x:c r="K62" s="29" t="str">
        <x:v>0</x:v>
      </x:c>
      <x:c r="L62" s="29" t="str">
        <x:v>1729</x:v>
      </x:c>
      <x:c r="M62" s="29" t="str">
        <x:v>219</x:v>
      </x:c>
      <x:c r="N62" s="29" t="str">
        <x:v>0</x:v>
      </x:c>
      <x:c r="O62" s="29" t="str">
        <x:v>1388</x:v>
      </x:c>
      <x:c r="P62" s="29" t="str">
        <x:v>0.00</x:v>
      </x:c>
      <x:c r="Q62" s="29" t="str">
        <x:v>1074830.00</x:v>
      </x:c>
      <x:c r="R62" s="21" t="str"/>
      <x:c r="S62" s="21" t="str"/>
      <x:c r="T62" s="21" t="str">
        <x:v>["13560.00", "8095.00", "7795.00"]</x:v>
      </x:c>
      <x:c r="U62" s="21" t="str">
        <x:v>[["0.00", 219], ["13560.00", 3], ["7795.00", 3], ["10675.00", 3], ["3630.00", 3], ["13200.00", 3], ["10005.00", 3], ["14800.00", 3], ["7050.00", 2], ["14985.00", 2]]</x:v>
      </x:c>
    </x:row>
    <x:row r="63">
      <x:c r="A63" s="21" t="str">
        <x:v>PREF01N001</x:v>
      </x:c>
      <x:c r="B63" s="21" t="str">
        <x:v>du_nav_rnf_amt</x:v>
      </x:c>
      <x:c r="C63" s="21" t="str">
        <x:v>numeric</x:v>
      </x:c>
      <x:c r="D63" s="21" t="str">
        <x:v>전일NAV등락금액</x:v>
      </x:c>
      <x:c r="E63" s="21" t="str">
        <x:v>-161.91</x:v>
      </x:c>
      <x:c r="F63" s="29" t="str">
        <x:v>1734</x:v>
      </x:c>
      <x:c r="G63" s="29" t="str">
        <x:v>1517</x:v>
      </x:c>
      <x:c r="H63" s="31" t="str">
        <x:v>0.874856</x:v>
      </x:c>
      <x:c r="I63" s="29" t="str">
        <x:v>217</x:v>
      </x:c>
      <x:c r="J63" s="29" t="str">
        <x:v>0</x:v>
      </x:c>
      <x:c r="K63" s="29" t="str">
        <x:v>0</x:v>
      </x:c>
      <x:c r="L63" s="29" t="str">
        <x:v>1517</x:v>
      </x:c>
      <x:c r="M63" s="29" t="str">
        <x:v>1</x:v>
      </x:c>
      <x:c r="N63" s="29" t="str">
        <x:v>1299</x:v>
      </x:c>
      <x:c r="O63" s="29" t="str">
        <x:v>1502</x:v>
      </x:c>
      <x:c r="P63" s="29" t="str">
        <x:v>-1074635.23</x:v>
      </x:c>
      <x:c r="Q63" s="29" t="str">
        <x:v>35657.47</x:v>
      </x:c>
      <x:c r="R63" s="21" t="str"/>
      <x:c r="S63" s="21" t="str"/>
      <x:c r="T63" s="21" t="str">
        <x:v>["-13670.67", "176.00", "-7777.31"]</x:v>
      </x:c>
      <x:c r="U63" s="21" t="str">
        <x:v>[["35.12", 2], ["-21.59", 2], ["-766.21", 2], ["-8157.48", 2], ["-13670.67", 1], ["176.00", 1], ["-7777.31", 1], ["-20931.20", 1], ["-96438.36", 1], ["-245.21", 1]]</x:v>
      </x:c>
    </x:row>
    <x:row r="64">
      <x:c r="A64" s="21" t="str">
        <x:v>PREF01N001</x:v>
      </x:c>
      <x:c r="B64" s="21" t="str">
        <x:v>du_nav_yday</x:v>
      </x:c>
      <x:c r="C64" s="21" t="str">
        <x:v>numeric</x:v>
      </x:c>
      <x:c r="D64" s="21" t="str">
        <x:v>전일NAV</x:v>
      </x:c>
      <x:c r="E64" s="21" t="str">
        <x:v>10035.19</x:v>
      </x:c>
      <x:c r="F64" s="29" t="str">
        <x:v>1734</x:v>
      </x:c>
      <x:c r="G64" s="29" t="str">
        <x:v>1517</x:v>
      </x:c>
      <x:c r="H64" s="31" t="str">
        <x:v>0.874856</x:v>
      </x:c>
      <x:c r="I64" s="29" t="str">
        <x:v>217</x:v>
      </x:c>
      <x:c r="J64" s="29" t="str">
        <x:v>0</x:v>
      </x:c>
      <x:c r="K64" s="29" t="str">
        <x:v>0</x:v>
      </x:c>
      <x:c r="L64" s="29" t="str">
        <x:v>1517</x:v>
      </x:c>
      <x:c r="M64" s="29" t="str">
        <x:v>0</x:v>
      </x:c>
      <x:c r="N64" s="29" t="str">
        <x:v>0</x:v>
      </x:c>
      <x:c r="O64" s="29" t="str">
        <x:v>1504</x:v>
      </x:c>
      <x:c r="P64" s="29" t="str">
        <x:v>12.41</x:v>
      </x:c>
      <x:c r="Q64" s="29" t="str">
        <x:v>1074635.23</x:v>
      </x:c>
      <x:c r="R64" s="21" t="str"/>
      <x:c r="S64" s="21" t="str"/>
      <x:c r="T64" s="21" t="str">
        <x:v>["13670.67", "7969.34", "7777.31"]</x:v>
      </x:c>
      <x:c r="U64" s="21" t="str">
        <x:v>[["13345.61", 2], ["1528.09", 2], ["50423.94", 2], ["13670.67", 1], ["7969.34", 1], ["7777.31", 1], ["20931.20", 1], ["96438.36", 1], ["7359.55", 1], ["44958.08", 1]]</x:v>
      </x:c>
    </x:row>
    <x:row r="65">
      <x:c r="A65" s="21" t="str">
        <x:v>PREF01N001</x:v>
      </x:c>
      <x:c r="B65" s="21" t="str">
        <x:v>du_upt_dt</x:v>
      </x:c>
      <x:c r="C65" s="21" t="str">
        <x:v>timestamp without time zone</x:v>
      </x:c>
      <x:c r="D65" s="21" t="str">
        <x:v>일간갱신일자</x:v>
      </x:c>
      <x:c r="E65" s="21" t="str">
        <x:v>20260225</x:v>
      </x:c>
      <x:c r="F65" s="29" t="str">
        <x:v>1734</x:v>
      </x:c>
      <x:c r="G65" s="29" t="str">
        <x:v>1517</x:v>
      </x:c>
      <x:c r="H65" s="31" t="str">
        <x:v>0.874856</x:v>
      </x:c>
      <x:c r="I65" s="29" t="str">
        <x:v>217</x:v>
      </x:c>
      <x:c r="J65" s="29" t="str">
        <x:v>0</x:v>
      </x:c>
      <x:c r="K65" s="29" t="str">
        <x:v>0</x:v>
      </x:c>
      <x:c r="L65" s="29" t="str">
        <x:v>0</x:v>
      </x:c>
      <x:c r="M65" s="29" t="str">
        <x:v>0</x:v>
      </x:c>
      <x:c r="N65" s="29" t="str">
        <x:v>0</x:v>
      </x:c>
      <x:c r="O65" s="29" t="str">
        <x:v>1</x:v>
      </x:c>
      <x:c r="P65" s="29" t="str"/>
      <x:c r="Q65" s="29" t="str"/>
      <x:c r="R65" s="21" t="str">
        <x:v>20260615</x:v>
      </x:c>
      <x:c r="S65" s="21" t="str">
        <x:v>20260615</x:v>
      </x:c>
      <x:c r="T65" s="21" t="str">
        <x:v>["2026-06-15 00:00:00"]</x:v>
      </x:c>
      <x:c r="U65" s="21" t="str">
        <x:v>[["2026-06-15 00:00:00", 1517]]</x:v>
      </x:c>
    </x:row>
    <x:row r="66">
      <x:c r="A66" s="21" t="str">
        <x:v>PREF01N001</x:v>
      </x:c>
      <x:c r="B66" s="21" t="str">
        <x:v>du_val_1d</x:v>
      </x:c>
      <x:c r="C66" s="21" t="str">
        <x:v>numeric</x:v>
      </x:c>
      <x:c r="D66" s="21" t="str">
        <x:v>일거래대금</x:v>
      </x:c>
      <x:c r="E66" s="21" t="str">
        <x:v>810630570.00</x:v>
      </x:c>
      <x:c r="F66" s="29" t="str">
        <x:v>1734</x:v>
      </x:c>
      <x:c r="G66" s="29" t="str">
        <x:v>1729</x:v>
      </x:c>
      <x:c r="H66" s="31" t="str">
        <x:v>0.997116</x:v>
      </x:c>
      <x:c r="I66" s="29" t="str">
        <x:v>5</x:v>
      </x:c>
      <x:c r="J66" s="29" t="str">
        <x:v>0</x:v>
      </x:c>
      <x:c r="K66" s="29" t="str">
        <x:v>0</x:v>
      </x:c>
      <x:c r="L66" s="29" t="str">
        <x:v>1729</x:v>
      </x:c>
      <x:c r="M66" s="29" t="str">
        <x:v>255</x:v>
      </x:c>
      <x:c r="N66" s="29" t="str">
        <x:v>0</x:v>
      </x:c>
      <x:c r="O66" s="29" t="str">
        <x:v>1475</x:v>
      </x:c>
      <x:c r="P66" s="29" t="str">
        <x:v>0.00</x:v>
      </x:c>
      <x:c r="Q66" s="29" t="str">
        <x:v>2954894832243.00</x:v>
      </x:c>
      <x:c r="R66" s="21" t="str"/>
      <x:c r="S66" s="21" t="str"/>
      <x:c r="T66" s="21" t="str">
        <x:v>["1127563999.00", "3605210.00", "6268212166.00"]</x:v>
      </x:c>
      <x:c r="U66" s="21" t="str">
        <x:v>[["0.00", 255], ["1127563999.00", 1], ["3605210.00", 1], ["6268212166.00", 1], ["198043874.00", 1], ["101589995922.00", 1], ["13669545.00", 1], ["2585449097.00", 1], ["416809199.00", 1], ["29975.00", 1]]</x:v>
      </x:c>
    </x:row>
    <x:row r="67">
      <x:c r="A67" s="21" t="str">
        <x:v>PREF01N001</x:v>
      </x:c>
      <x:c r="B67" s="21" t="str">
        <x:v>du_val_1m</x:v>
      </x:c>
      <x:c r="C67" s="21" t="str">
        <x:v>numeric</x:v>
      </x:c>
      <x:c r="D67" s="21" t="str">
        <x:v>일거래대금평균_1M</x:v>
      </x:c>
      <x:c r="E67" s="21" t="str">
        <x:v>847009967.75</x:v>
      </x:c>
      <x:c r="F67" s="29" t="str">
        <x:v>1734</x:v>
      </x:c>
      <x:c r="G67" s="29" t="str">
        <x:v>1694</x:v>
      </x:c>
      <x:c r="H67" s="31" t="str">
        <x:v>0.976932</x:v>
      </x:c>
      <x:c r="I67" s="29" t="str">
        <x:v>40</x:v>
      </x:c>
      <x:c r="J67" s="29" t="str">
        <x:v>0</x:v>
      </x:c>
      <x:c r="K67" s="29" t="str">
        <x:v>0</x:v>
      </x:c>
      <x:c r="L67" s="29" t="str">
        <x:v>1694</x:v>
      </x:c>
      <x:c r="M67" s="29" t="str">
        <x:v>204</x:v>
      </x:c>
      <x:c r="N67" s="29" t="str">
        <x:v>0</x:v>
      </x:c>
      <x:c r="O67" s="29" t="str">
        <x:v>1491</x:v>
      </x:c>
      <x:c r="P67" s="29" t="str">
        <x:v>0.00</x:v>
      </x:c>
      <x:c r="Q67" s="29" t="str">
        <x:v>3068646617382.65</x:v>
      </x:c>
      <x:c r="R67" s="21" t="str"/>
      <x:c r="S67" s="21" t="str"/>
      <x:c r="T67" s="21" t="str">
        <x:v>["1481358349.10", "16201691.25", "9504943879.95"]</x:v>
      </x:c>
      <x:c r="U67" s="21" t="str">
        <x:v>[["0.00", 204], ["1481358349.10", 1], ["16201691.25", 1], ["9504943879.95", 1], ["160335035.55", 1], ["24450986246.75", 1], ["101121801.65", 1], ["1641952931.70", 1], ["432611989.10", 1], ["9128878.00", 1]]</x:v>
      </x:c>
    </x:row>
    <x:row r="68">
      <x:c r="A68" s="21" t="str">
        <x:v>PREF01N001</x:v>
      </x:c>
      <x:c r="B68" s="21" t="str">
        <x:v>du_val_5d</x:v>
      </x:c>
      <x:c r="C68" s="21" t="str">
        <x:v>numeric</x:v>
      </x:c>
      <x:c r="D68" s="21" t="str">
        <x:v>일거래대금평균_5D</x:v>
      </x:c>
      <x:c r="E68" s="21" t="str">
        <x:v>683306859.40</x:v>
      </x:c>
      <x:c r="F68" s="29" t="str">
        <x:v>1734</x:v>
      </x:c>
      <x:c r="G68" s="29" t="str">
        <x:v>1729</x:v>
      </x:c>
      <x:c r="H68" s="31" t="str">
        <x:v>0.997116</x:v>
      </x:c>
      <x:c r="I68" s="29" t="str">
        <x:v>5</x:v>
      </x:c>
      <x:c r="J68" s="29" t="str">
        <x:v>0</x:v>
      </x:c>
      <x:c r="K68" s="29" t="str">
        <x:v>0</x:v>
      </x:c>
      <x:c r="L68" s="29" t="str">
        <x:v>1729</x:v>
      </x:c>
      <x:c r="M68" s="29" t="str">
        <x:v>233</x:v>
      </x:c>
      <x:c r="N68" s="29" t="str">
        <x:v>0</x:v>
      </x:c>
      <x:c r="O68" s="29" t="str">
        <x:v>1497</x:v>
      </x:c>
      <x:c r="P68" s="29" t="str">
        <x:v>0.00</x:v>
      </x:c>
      <x:c r="Q68" s="29" t="str">
        <x:v>2649650947844.60</x:v>
      </x:c>
      <x:c r="R68" s="21" t="str"/>
      <x:c r="S68" s="21" t="str"/>
      <x:c r="T68" s="21" t="str">
        <x:v>["1168756083.20", "16536908.00", "5828427296.40"]</x:v>
      </x:c>
      <x:c r="U68" s="21" t="str">
        <x:v>[["0.00", 233], ["1168756083.20", 1], ["16536908.00", 1], ["5828427296.40", 1], ["182147473.80", 1], ["32525435043.20", 1], ["44366748.80", 1], ["1659604635.40", 1], ["393826843.60", 1], ["24027.00", 1]]</x:v>
      </x:c>
    </x:row>
    <x:row r="69">
      <x:c r="A69" s="21" t="str">
        <x:v>PREF01N001</x:v>
      </x:c>
      <x:c r="B69" s="21" t="str">
        <x:v>du_vol_1d</x:v>
      </x:c>
      <x:c r="C69" s="21" t="str">
        <x:v>numeric</x:v>
      </x:c>
      <x:c r="D69" s="21" t="str">
        <x:v>일거래량</x:v>
      </x:c>
      <x:c r="E69" s="21" t="str">
        <x:v>81758.00</x:v>
      </x:c>
      <x:c r="F69" s="29" t="str">
        <x:v>1734</x:v>
      </x:c>
      <x:c r="G69" s="29" t="str">
        <x:v>1729</x:v>
      </x:c>
      <x:c r="H69" s="31" t="str">
        <x:v>0.997116</x:v>
      </x:c>
      <x:c r="I69" s="29" t="str">
        <x:v>5</x:v>
      </x:c>
      <x:c r="J69" s="29" t="str">
        <x:v>0</x:v>
      </x:c>
      <x:c r="K69" s="29" t="str">
        <x:v>0</x:v>
      </x:c>
      <x:c r="L69" s="29" t="str">
        <x:v>1729</x:v>
      </x:c>
      <x:c r="M69" s="29" t="str">
        <x:v>255</x:v>
      </x:c>
      <x:c r="N69" s="29" t="str">
        <x:v>0</x:v>
      </x:c>
      <x:c r="O69" s="29" t="str">
        <x:v>1365</x:v>
      </x:c>
      <x:c r="P69" s="29" t="str">
        <x:v>0.00</x:v>
      </x:c>
      <x:c r="Q69" s="29" t="str">
        <x:v>6109020945.00</x:v>
      </x:c>
      <x:c r="R69" s="21" t="str"/>
      <x:c r="S69" s="21" t="str"/>
      <x:c r="T69" s="21" t="str">
        <x:v>["82836.00", "443.00", "797435.00"]</x:v>
      </x:c>
      <x:c r="U69" s="21" t="str">
        <x:v>[["0.00", 255], ["1.00", 21], ["2.00", 8], ["5.00", 6], ["10.00", 6], ["7.00", 5], ["21.00", 4], ["6.00", 4], ["28.00", 3], ["112.00", 3]]</x:v>
      </x:c>
    </x:row>
    <x:row r="70">
      <x:c r="A70" s="21" t="str">
        <x:v>PREF01N001</x:v>
      </x:c>
      <x:c r="B70" s="21" t="str">
        <x:v>du_vol_avg_1m</x:v>
      </x:c>
      <x:c r="C70" s="21" t="str">
        <x:v>numeric</x:v>
      </x:c>
      <x:c r="D70" s="21" t="str">
        <x:v>거래량평균_1M</x:v>
      </x:c>
      <x:c r="E70" s="21" t="str">
        <x:v>87324.85</x:v>
      </x:c>
      <x:c r="F70" s="29" t="str">
        <x:v>1734</x:v>
      </x:c>
      <x:c r="G70" s="29" t="str">
        <x:v>1696</x:v>
      </x:c>
      <x:c r="H70" s="31" t="str">
        <x:v>0.978085</x:v>
      </x:c>
      <x:c r="I70" s="29" t="str">
        <x:v>38</x:v>
      </x:c>
      <x:c r="J70" s="29" t="str">
        <x:v>0</x:v>
      </x:c>
      <x:c r="K70" s="29" t="str">
        <x:v>0</x:v>
      </x:c>
      <x:c r="L70" s="29" t="str">
        <x:v>1696</x:v>
      </x:c>
      <x:c r="M70" s="29" t="str">
        <x:v>204</x:v>
      </x:c>
      <x:c r="N70" s="29" t="str">
        <x:v>0</x:v>
      </x:c>
      <x:c r="O70" s="29" t="str">
        <x:v>1489</x:v>
      </x:c>
      <x:c r="P70" s="29" t="str">
        <x:v>0.00</x:v>
      </x:c>
      <x:c r="Q70" s="29" t="str">
        <x:v>9342240793.30</x:v>
      </x:c>
      <x:c r="R70" s="21" t="str"/>
      <x:c r="S70" s="21" t="str"/>
      <x:c r="T70" s="21" t="str">
        <x:v>["109219.75", "1998.05", "1174539.10"]</x:v>
      </x:c>
      <x:c r="U70" s="21" t="str">
        <x:v>[["0.00", 204], ["109219.75", 1], ["1998.05", 1], ["1174539.10", 1], ["7601.30", 1], ["253578.40", 1], ["11745.95", 1], ["33427.00", 1], ["25727.65", 1], ["608.40", 1]]</x:v>
      </x:c>
    </x:row>
    <x:row r="71">
      <x:c r="A71" s="21" t="str">
        <x:v>PREF01N001</x:v>
      </x:c>
      <x:c r="B71" s="21" t="str">
        <x:v>du_vol_avg_5d</x:v>
      </x:c>
      <x:c r="C71" s="21" t="str">
        <x:v>numeric</x:v>
      </x:c>
      <x:c r="D71" s="21" t="str">
        <x:v>거래량평균_5D</x:v>
      </x:c>
      <x:c r="E71" s="21" t="str">
        <x:v>69132.40</x:v>
      </x:c>
      <x:c r="F71" s="29" t="str">
        <x:v>1734</x:v>
      </x:c>
      <x:c r="G71" s="29" t="str">
        <x:v>1729</x:v>
      </x:c>
      <x:c r="H71" s="31" t="str">
        <x:v>0.997116</x:v>
      </x:c>
      <x:c r="I71" s="29" t="str">
        <x:v>5</x:v>
      </x:c>
      <x:c r="J71" s="29" t="str">
        <x:v>0</x:v>
      </x:c>
      <x:c r="K71" s="29" t="str">
        <x:v>0</x:v>
      </x:c>
      <x:c r="L71" s="29" t="str">
        <x:v>1729</x:v>
      </x:c>
      <x:c r="M71" s="29" t="str">
        <x:v>233</x:v>
      </x:c>
      <x:c r="N71" s="29" t="str">
        <x:v>0</x:v>
      </x:c>
      <x:c r="O71" s="29" t="str">
        <x:v>1469</x:v>
      </x:c>
      <x:c r="P71" s="29" t="str">
        <x:v>0.00</x:v>
      </x:c>
      <x:c r="Q71" s="29" t="str">
        <x:v>8983542191.80</x:v>
      </x:c>
      <x:c r="R71" s="21" t="str"/>
      <x:c r="S71" s="21" t="str"/>
      <x:c r="T71" s="21" t="str">
        <x:v>["85775.60", "2086.80", "741412.40"]</x:v>
      </x:c>
      <x:c r="U71" s="21" t="str">
        <x:v>[["0.00", 233], ["0.40", 5], ["1.60", 4], ["1.20", 3], ["0.60", 3], ["1.00", 2], ["21.20", 2], ["14.20", 2], ["85775.60", 1], ["2086.80", 1]]</x:v>
      </x:c>
    </x:row>
    <x:row r="72">
      <x:c r="A72" s="21" t="str">
        <x:v>PREF01N001</x:v>
      </x:c>
      <x:c r="B72" s="21" t="str">
        <x:v>nru_mkt_diff_rt</x:v>
      </x:c>
      <x:c r="C72" s="21" t="str">
        <x:v>numeric</x:v>
      </x:c>
      <x:c r="D72" s="21" t="str">
        <x:v>괴리율</x:v>
      </x:c>
      <x:c r="E72" s="21" t="str">
        <x:v>0.00</x:v>
      </x:c>
      <x:c r="F72" s="29" t="str">
        <x:v>1734</x:v>
      </x:c>
      <x:c r="G72" s="29" t="str">
        <x:v>0</x:v>
      </x:c>
      <x:c r="H72" s="31" t="str">
        <x:v>0.0</x:v>
      </x:c>
      <x:c r="I72" s="29" t="str">
        <x:v>1734</x:v>
      </x:c>
      <x:c r="J72" s="29" t="str">
        <x:v>0</x:v>
      </x:c>
      <x:c r="K72" s="29" t="str">
        <x:v>0</x:v>
      </x:c>
      <x:c r="L72" s="29" t="str">
        <x:v>0</x:v>
      </x:c>
      <x:c r="M72" s="29" t="str">
        <x:v>0</x:v>
      </x:c>
      <x:c r="N72" s="29" t="str">
        <x:v>0</x:v>
      </x:c>
      <x:c r="O72" s="29" t="str">
        <x:v>0</x:v>
      </x:c>
      <x:c r="P72" s="29" t="str"/>
      <x:c r="Q72" s="29" t="str"/>
      <x:c r="R72" s="21" t="str"/>
      <x:c r="S72" s="21" t="str"/>
      <x:c r="T72" s="21" t="str">
        <x:v>[]</x:v>
      </x:c>
      <x:c r="U72" s="21" t="str">
        <x:v>[]</x:v>
      </x:c>
    </x:row>
    <x:row r="73">
      <x:c r="A73" s="21" t="str">
        <x:v>PREF01N001</x:v>
      </x:c>
      <x:c r="B73" s="21" t="str">
        <x:v>nru_mkt_inav</x:v>
      </x:c>
      <x:c r="C73" s="21" t="str">
        <x:v>numeric</x:v>
      </x:c>
      <x:c r="D73" s="21" t="str">
        <x:v>장중 iNAV</x:v>
      </x:c>
      <x:c r="E73" s="21" t="str">
        <x:v>0.00</x:v>
      </x:c>
      <x:c r="F73" s="29" t="str">
        <x:v>1734</x:v>
      </x:c>
      <x:c r="G73" s="29" t="str">
        <x:v>0</x:v>
      </x:c>
      <x:c r="H73" s="31" t="str">
        <x:v>0.0</x:v>
      </x:c>
      <x:c r="I73" s="29" t="str">
        <x:v>1734</x:v>
      </x:c>
      <x:c r="J73" s="29" t="str">
        <x:v>0</x:v>
      </x:c>
      <x:c r="K73" s="29" t="str">
        <x:v>0</x:v>
      </x:c>
      <x:c r="L73" s="29" t="str">
        <x:v>0</x:v>
      </x:c>
      <x:c r="M73" s="29" t="str">
        <x:v>0</x:v>
      </x:c>
      <x:c r="N73" s="29" t="str">
        <x:v>0</x:v>
      </x:c>
      <x:c r="O73" s="29" t="str">
        <x:v>0</x:v>
      </x:c>
      <x:c r="P73" s="29" t="str"/>
      <x:c r="Q73" s="29" t="str"/>
      <x:c r="R73" s="21" t="str"/>
      <x:c r="S73" s="21" t="str"/>
      <x:c r="T73" s="21" t="str">
        <x:v>[]</x:v>
      </x:c>
      <x:c r="U73" s="21" t="str">
        <x:v>[]</x:v>
      </x:c>
    </x:row>
    <x:row r="74">
      <x:c r="A74" s="21" t="str">
        <x:v>PREF01N001</x:v>
      </x:c>
      <x:c r="B74" s="21" t="str">
        <x:v>pd_abrv_nm</x:v>
      </x:c>
      <x:c r="C74" s="21" t="str">
        <x:v>text</x:v>
      </x:c>
      <x:c r="D74" s="21" t="str">
        <x:v>상품약어명</x:v>
      </x:c>
      <x:c r="E74" s="21" t="str">
        <x:v>TIGER 엔비디아미국채커버드콜밸런스(합성)</x:v>
      </x:c>
      <x:c r="F74" s="29" t="str">
        <x:v>1734</x:v>
      </x:c>
      <x:c r="G74" s="29" t="str">
        <x:v>1734</x:v>
      </x:c>
      <x:c r="H74" s="31" t="str">
        <x:v>1.0</x:v>
      </x:c>
      <x:c r="I74" s="29" t="str">
        <x:v>0</x:v>
      </x:c>
      <x:c r="J74" s="29" t="str">
        <x:v>0</x:v>
      </x:c>
      <x:c r="K74" s="29" t="str">
        <x:v>0</x:v>
      </x:c>
      <x:c r="L74" s="29" t="str">
        <x:v>0</x:v>
      </x:c>
      <x:c r="M74" s="29" t="str">
        <x:v>0</x:v>
      </x:c>
      <x:c r="N74" s="29" t="str">
        <x:v>0</x:v>
      </x:c>
      <x:c r="O74" s="29" t="str">
        <x:v>1727</x:v>
      </x:c>
      <x:c r="P74" s="29" t="str"/>
      <x:c r="Q74" s="29" t="str"/>
      <x:c r="R74" s="21" t="str"/>
      <x:c r="S74" s="21" t="str"/>
      <x:c r="T74" s="21" t="str">
        <x:v>["TIGER 미국채10년선물", "키움 바이오TOP10 ETN", "TIGER 차이나항셍테크"]</x:v>
      </x:c>
      <x:c r="U74" s="21" t="str">
        <x:v>[["TIGER 미국채10년선물", 1], ["키움 바이오TOP10 ETN", 1], ["TIGER 차이나항셍테크", 1], ["HANARO 미국S&amp;P500", 1], ["KODEX Top5PlusTR", 1], ["KB 레버리지 밀 선물 ETN", 1], ["ACE 미국빅테크TOP7 Plus레버리지(합성)", 1], ["RISE V&amp;S셀렉트밸류채권혼합", 1], ["한투 인버스2X엔달러 선물 ETN(H)", 1], ["KODEX 모멘텀Plus", 1]]</x:v>
      </x:c>
    </x:row>
    <x:row r="75">
      <x:c r="A75" s="21" t="str">
        <x:v>PREF01N001</x:v>
      </x:c>
      <x:c r="B75" s="21" t="str">
        <x:v>pd_circ_net_tamt</x:v>
      </x:c>
      <x:c r="C75" s="21" t="str">
        <x:v>numeric</x:v>
      </x:c>
      <x:c r="D75" s="21" t="str">
        <x:v>유통순자산총액</x:v>
      </x:c>
      <x:c r="E75" s="21" t="str">
        <x:v>61869000000.00</x:v>
      </x:c>
      <x:c r="F75" s="29" t="str">
        <x:v>1734</x:v>
      </x:c>
      <x:c r="G75" s="29" t="str">
        <x:v>1551</x:v>
      </x:c>
      <x:c r="H75" s="31" t="str">
        <x:v>0.894464</x:v>
      </x:c>
      <x:c r="I75" s="29" t="str">
        <x:v>183</x:v>
      </x:c>
      <x:c r="J75" s="29" t="str">
        <x:v>0</x:v>
      </x:c>
      <x:c r="K75" s="29" t="str">
        <x:v>0</x:v>
      </x:c>
      <x:c r="L75" s="29" t="str">
        <x:v>1551</x:v>
      </x:c>
      <x:c r="M75" s="29" t="str">
        <x:v>893</x:v>
      </x:c>
      <x:c r="N75" s="29" t="str">
        <x:v>0</x:v>
      </x:c>
      <x:c r="O75" s="29" t="str">
        <x:v>658</x:v>
      </x:c>
      <x:c r="P75" s="29" t="str">
        <x:v>0.00</x:v>
      </x:c>
      <x:c r="Q75" s="29" t="str">
        <x:v>19029494000000.00</x:v>
      </x:c>
      <x:c r="R75" s="21" t="str"/>
      <x:c r="S75" s="21" t="str"/>
      <x:c r="T75" s="21" t="str">
        <x:v>["239312500000.00", "0.00", "715653000000.00"]</x:v>
      </x:c>
      <x:c r="U75" s="21" t="str">
        <x:v>[["0.00", 893], ["9240000000.00", 2], ["239312500000.00", 1], ["715653000000.00", 1], ["16760000000.00", 1], ["36410000000.00", 1], ["161396000000.00", 1], ["171864000000.00", 1], ["104307500000.00", 1], ["103823200000.00", 1]]</x:v>
      </x:c>
    </x:row>
    <x:row r="76">
      <x:c r="A76" s="21" t="str">
        <x:v>PREF01N001</x:v>
      </x:c>
      <x:c r="B76" s="21" t="str">
        <x:v>pd_circ_stk_cnt</x:v>
      </x:c>
      <x:c r="C76" s="21" t="str">
        <x:v>numeric</x:v>
      </x:c>
      <x:c r="D76" s="21" t="str">
        <x:v>유통주식수</x:v>
      </x:c>
      <x:c r="E76" s="21" t="str">
        <x:v>6150000.00</x:v>
      </x:c>
      <x:c r="F76" s="29" t="str">
        <x:v>1734</x:v>
      </x:c>
      <x:c r="G76" s="29" t="str">
        <x:v>1551</x:v>
      </x:c>
      <x:c r="H76" s="31" t="str">
        <x:v>0.894464</x:v>
      </x:c>
      <x:c r="I76" s="29" t="str">
        <x:v>183</x:v>
      </x:c>
      <x:c r="J76" s="29" t="str">
        <x:v>0</x:v>
      </x:c>
      <x:c r="K76" s="29" t="str">
        <x:v>0</x:v>
      </x:c>
      <x:c r="L76" s="29" t="str">
        <x:v>1551</x:v>
      </x:c>
      <x:c r="M76" s="29" t="str">
        <x:v>411</x:v>
      </x:c>
      <x:c r="N76" s="29" t="str">
        <x:v>0</x:v>
      </x:c>
      <x:c r="O76" s="29" t="str">
        <x:v>622</x:v>
      </x:c>
      <x:c r="P76" s="29" t="str">
        <x:v>0.00</x:v>
      </x:c>
      <x:c r="Q76" s="29" t="str">
        <x:v>1128710000.00</x:v>
      </x:c>
      <x:c r="R76" s="21" t="str"/>
      <x:c r="S76" s="21" t="str"/>
      <x:c r="T76" s="21" t="str">
        <x:v>["17500000.00", "0.00", "91050000.00"]</x:v>
      </x:c>
      <x:c r="U76" s="21" t="str">
        <x:v>[["0.00", 411], ["500000.00", 32], ["600000.00", 24], ["700000.00", 21], ["900000.00", 19], ["800000.00", 16], ["1000000.00", 14], ["400000.00", 12], ["850000.00", 12], ["1400000.00", 12]]</x:v>
      </x:c>
    </x:row>
    <x:row r="77">
      <x:c r="A77" s="21" t="str">
        <x:v>PREF01N001</x:v>
      </x:c>
      <x:c r="B77" s="21" t="str">
        <x:v>pd_curr_cd</x:v>
      </x:c>
      <x:c r="C77" s="21" t="str">
        <x:v>text</x:v>
      </x:c>
      <x:c r="D77" s="21" t="str">
        <x:v>상품통화코드</x:v>
      </x:c>
      <x:c r="E77" s="21" t="str">
        <x:v>CURR_CD_KRW</x:v>
      </x:c>
      <x:c r="F77" s="29" t="str">
        <x:v>1734</x:v>
      </x:c>
      <x:c r="G77" s="29" t="str">
        <x:v>1733</x:v>
      </x:c>
      <x:c r="H77" s="31" t="str">
        <x:v>0.999423</x:v>
      </x:c>
      <x:c r="I77" s="29" t="str">
        <x:v>1</x:v>
      </x:c>
      <x:c r="J77" s="29" t="str">
        <x:v>0</x:v>
      </x:c>
      <x:c r="K77" s="29" t="str">
        <x:v>0</x:v>
      </x:c>
      <x:c r="L77" s="29" t="str">
        <x:v>0</x:v>
      </x:c>
      <x:c r="M77" s="29" t="str">
        <x:v>0</x:v>
      </x:c>
      <x:c r="N77" s="29" t="str">
        <x:v>0</x:v>
      </x:c>
      <x:c r="O77" s="29" t="str">
        <x:v>2</x:v>
      </x:c>
      <x:c r="P77" s="29" t="str"/>
      <x:c r="Q77" s="29" t="str"/>
      <x:c r="R77" s="21" t="str"/>
      <x:c r="S77" s="21" t="str"/>
      <x:c r="T77" s="21" t="str">
        <x:v>["CURR_CD_KRW", "CURR_CD_000"]</x:v>
      </x:c>
      <x:c r="U77" s="21" t="str">
        <x:v>[["CURR_CD_KRW", 1732], ["CURR_CD_000", 1]]</x:v>
      </x:c>
    </x:row>
    <x:row r="78">
      <x:c r="A78" s="21" t="str">
        <x:v>PREF01N001</x:v>
      </x:c>
      <x:c r="B78" s="21" t="str">
        <x:v>pd_curr_nm</x:v>
      </x:c>
      <x:c r="C78" s="21" t="str">
        <x:v>text</x:v>
      </x:c>
      <x:c r="D78" s="21" t="str">
        <x:v>상품통화명</x:v>
      </x:c>
      <x:c r="E78" s="21" t="str">
        <x:v>한국원화</x:v>
      </x:c>
      <x:c r="F78" s="29" t="str">
        <x:v>1734</x:v>
      </x:c>
      <x:c r="G78" s="29" t="str">
        <x:v>1733</x:v>
      </x:c>
      <x:c r="H78" s="31" t="str">
        <x:v>0.999423</x:v>
      </x:c>
      <x:c r="I78" s="29" t="str">
        <x:v>1</x:v>
      </x:c>
      <x:c r="J78" s="29" t="str">
        <x:v>0</x:v>
      </x:c>
      <x:c r="K78" s="29" t="str">
        <x:v>0</x:v>
      </x:c>
      <x:c r="L78" s="29" t="str">
        <x:v>0</x:v>
      </x:c>
      <x:c r="M78" s="29" t="str">
        <x:v>0</x:v>
      </x:c>
      <x:c r="N78" s="29" t="str">
        <x:v>0</x:v>
      </x:c>
      <x:c r="O78" s="29" t="str">
        <x:v>2</x:v>
      </x:c>
      <x:c r="P78" s="29" t="str"/>
      <x:c r="Q78" s="29" t="str"/>
      <x:c r="R78" s="21" t="str"/>
      <x:c r="S78" s="21" t="str"/>
      <x:c r="T78" s="21" t="str">
        <x:v>["한국원화", "해당없음"]</x:v>
      </x:c>
      <x:c r="U78" s="21" t="str">
        <x:v>[["한국원화", 1732], ["해당없음", 1]]</x:v>
      </x:c>
    </x:row>
    <x:row r="79">
      <x:c r="A79" s="21" t="str">
        <x:v>PREF01N001</x:v>
      </x:c>
      <x:c r="B79" s="21" t="str">
        <x:v>pd_divd_amt_pshr</x:v>
      </x:c>
      <x:c r="C79" s="21" t="str">
        <x:v>numeric</x:v>
      </x:c>
      <x:c r="D79" s="21" t="str">
        <x:v>주당 배당금</x:v>
      </x:c>
      <x:c r="E79" s="21" t="str">
        <x:v>0.00</x:v>
      </x:c>
      <x:c r="F79" s="29" t="str">
        <x:v>1734</x:v>
      </x:c>
      <x:c r="G79" s="29" t="str">
        <x:v>1551</x:v>
      </x:c>
      <x:c r="H79" s="31" t="str">
        <x:v>0.894464</x:v>
      </x:c>
      <x:c r="I79" s="29" t="str">
        <x:v>183</x:v>
      </x:c>
      <x:c r="J79" s="29" t="str">
        <x:v>0</x:v>
      </x:c>
      <x:c r="K79" s="29" t="str">
        <x:v>0</x:v>
      </x:c>
      <x:c r="L79" s="29" t="str">
        <x:v>1551</x:v>
      </x:c>
      <x:c r="M79" s="29" t="str">
        <x:v>1551</x:v>
      </x:c>
      <x:c r="N79" s="29" t="str">
        <x:v>0</x:v>
      </x:c>
      <x:c r="O79" s="29" t="str">
        <x:v>1</x:v>
      </x:c>
      <x:c r="P79" s="29" t="str">
        <x:v>0.00</x:v>
      </x:c>
      <x:c r="Q79" s="29" t="str">
        <x:v>0.00</x:v>
      </x:c>
      <x:c r="R79" s="21" t="str"/>
      <x:c r="S79" s="21" t="str"/>
      <x:c r="T79" s="21" t="str">
        <x:v>["0.00"]</x:v>
      </x:c>
      <x:c r="U79" s="21" t="str">
        <x:v>[["0.00", 1551]]</x:v>
      </x:c>
    </x:row>
    <x:row r="80">
      <x:c r="A80" s="21" t="str">
        <x:v>PREF01N001</x:v>
      </x:c>
      <x:c r="B80" s="21" t="str">
        <x:v>pd_dvid_cycl</x:v>
      </x:c>
      <x:c r="C80" s="21" t="str">
        <x:v>text</x:v>
      </x:c>
      <x:c r="D80" s="21" t="str">
        <x:v>당주기</x:v>
      </x:c>
      <x:c r="E80" s="21" t="str"/>
      <x:c r="F80" s="29" t="str">
        <x:v>1734</x:v>
      </x:c>
      <x:c r="G80" s="29" t="str">
        <x:v>0</x:v>
      </x:c>
      <x:c r="H80" s="31" t="str">
        <x:v>0.0</x:v>
      </x:c>
      <x:c r="I80" s="29" t="str">
        <x:v>1734</x:v>
      </x:c>
      <x:c r="J80" s="29" t="str">
        <x:v>1551</x:v>
      </x:c>
      <x:c r="K80" s="29" t="str">
        <x:v>0</x:v>
      </x:c>
      <x:c r="L80" s="29" t="str">
        <x:v>0</x:v>
      </x:c>
      <x:c r="M80" s="29" t="str">
        <x:v>0</x:v>
      </x:c>
      <x:c r="N80" s="29" t="str">
        <x:v>0</x:v>
      </x:c>
      <x:c r="O80" s="29" t="str">
        <x:v>0</x:v>
      </x:c>
      <x:c r="P80" s="29" t="str"/>
      <x:c r="Q80" s="29" t="str"/>
      <x:c r="R80" s="21" t="str"/>
      <x:c r="S80" s="21" t="str"/>
      <x:c r="T80" s="21" t="str">
        <x:v>[]</x:v>
      </x:c>
      <x:c r="U80" s="21" t="str">
        <x:v>[]</x:v>
      </x:c>
    </x:row>
    <x:row r="81">
      <x:c r="A81" s="21" t="str">
        <x:v>PREF01N001</x:v>
      </x:c>
      <x:c r="B81" s="21" t="str">
        <x:v>pd_dvid_yield</x:v>
      </x:c>
      <x:c r="C81" s="21" t="str">
        <x:v>numeric</x:v>
      </x:c>
      <x:c r="D81" s="21" t="str">
        <x:v>배당수익률</x:v>
      </x:c>
      <x:c r="E81" s="21" t="str">
        <x:v>0.00</x:v>
      </x:c>
      <x:c r="F81" s="29" t="str">
        <x:v>1734</x:v>
      </x:c>
      <x:c r="G81" s="29" t="str">
        <x:v>1551</x:v>
      </x:c>
      <x:c r="H81" s="31" t="str">
        <x:v>0.894464</x:v>
      </x:c>
      <x:c r="I81" s="29" t="str">
        <x:v>183</x:v>
      </x:c>
      <x:c r="J81" s="29" t="str">
        <x:v>0</x:v>
      </x:c>
      <x:c r="K81" s="29" t="str">
        <x:v>0</x:v>
      </x:c>
      <x:c r="L81" s="29" t="str">
        <x:v>1551</x:v>
      </x:c>
      <x:c r="M81" s="29" t="str">
        <x:v>1551</x:v>
      </x:c>
      <x:c r="N81" s="29" t="str">
        <x:v>0</x:v>
      </x:c>
      <x:c r="O81" s="29" t="str">
        <x:v>1</x:v>
      </x:c>
      <x:c r="P81" s="29" t="str">
        <x:v>0.00</x:v>
      </x:c>
      <x:c r="Q81" s="29" t="str">
        <x:v>0.00</x:v>
      </x:c>
      <x:c r="R81" s="21" t="str"/>
      <x:c r="S81" s="21" t="str"/>
      <x:c r="T81" s="21" t="str">
        <x:v>["0.00"]</x:v>
      </x:c>
      <x:c r="U81" s="21" t="str">
        <x:v>[["0.00", 1551]]</x:v>
      </x:c>
    </x:row>
    <x:row r="82">
      <x:c r="A82" s="21" t="str">
        <x:v>PREF01N001</x:v>
      </x:c>
      <x:c r="B82" s="21" t="str">
        <x:v>pd_exg_mkt_cd</x:v>
      </x:c>
      <x:c r="C82" s="21" t="str">
        <x:v>text</x:v>
      </x:c>
      <x:c r="D82" s="21" t="str">
        <x:v>거래소코드</x:v>
      </x:c>
      <x:c r="E82" s="21" t="str">
        <x:v>EXG_MKT_NO_001</x:v>
      </x:c>
      <x:c r="F82" s="29" t="str">
        <x:v>1734</x:v>
      </x:c>
      <x:c r="G82" s="29" t="str">
        <x:v>1733</x:v>
      </x:c>
      <x:c r="H82" s="31" t="str">
        <x:v>0.999423</x:v>
      </x:c>
      <x:c r="I82" s="29" t="str">
        <x:v>1</x:v>
      </x:c>
      <x:c r="J82" s="29" t="str">
        <x:v>0</x:v>
      </x:c>
      <x:c r="K82" s="29" t="str">
        <x:v>0</x:v>
      </x:c>
      <x:c r="L82" s="29" t="str">
        <x:v>0</x:v>
      </x:c>
      <x:c r="M82" s="29" t="str">
        <x:v>0</x:v>
      </x:c>
      <x:c r="N82" s="29" t="str">
        <x:v>0</x:v>
      </x:c>
      <x:c r="O82" s="29" t="str">
        <x:v>1</x:v>
      </x:c>
      <x:c r="P82" s="29" t="str"/>
      <x:c r="Q82" s="29" t="str"/>
      <x:c r="R82" s="21" t="str"/>
      <x:c r="S82" s="21" t="str"/>
      <x:c r="T82" s="21" t="str">
        <x:v>["EXG_MKT_NO_001"]</x:v>
      </x:c>
      <x:c r="U82" s="21" t="str">
        <x:v>[["EXG_MKT_NO_001", 1733]]</x:v>
      </x:c>
    </x:row>
    <x:row r="83">
      <x:c r="A83" s="21" t="str">
        <x:v>PREF01N001</x:v>
      </x:c>
      <x:c r="B83" s="21" t="str">
        <x:v>pd_exg_mkt_nm</x:v>
      </x:c>
      <x:c r="C83" s="21" t="str">
        <x:v>text</x:v>
      </x:c>
      <x:c r="D83" s="21" t="str">
        <x:v>거래소명</x:v>
      </x:c>
      <x:c r="E83" s="21" t="str">
        <x:v>유가증권</x:v>
      </x:c>
      <x:c r="F83" s="29" t="str">
        <x:v>1734</x:v>
      </x:c>
      <x:c r="G83" s="29" t="str">
        <x:v>1733</x:v>
      </x:c>
      <x:c r="H83" s="31" t="str">
        <x:v>0.999423</x:v>
      </x:c>
      <x:c r="I83" s="29" t="str">
        <x:v>1</x:v>
      </x:c>
      <x:c r="J83" s="29" t="str">
        <x:v>0</x:v>
      </x:c>
      <x:c r="K83" s="29" t="str">
        <x:v>0</x:v>
      </x:c>
      <x:c r="L83" s="29" t="str">
        <x:v>0</x:v>
      </x:c>
      <x:c r="M83" s="29" t="str">
        <x:v>0</x:v>
      </x:c>
      <x:c r="N83" s="29" t="str">
        <x:v>0</x:v>
      </x:c>
      <x:c r="O83" s="29" t="str">
        <x:v>1</x:v>
      </x:c>
      <x:c r="P83" s="29" t="str"/>
      <x:c r="Q83" s="29" t="str"/>
      <x:c r="R83" s="21" t="str"/>
      <x:c r="S83" s="21" t="str"/>
      <x:c r="T83" s="21" t="str">
        <x:v>["유가증권                        ", "유가증권                        ", "유가증권                        "]</x:v>
      </x:c>
      <x:c r="U83" s="21" t="str">
        <x:v>[["유가증권", 1733]]</x:v>
      </x:c>
    </x:row>
    <x:row r="84">
      <x:c r="A84" s="21" t="str">
        <x:v>PREF01N001</x:v>
      </x:c>
      <x:c r="B84" s="21" t="str">
        <x:v>pd_grp_no</x:v>
      </x:c>
      <x:c r="C84" s="21" t="str">
        <x:v>text</x:v>
      </x:c>
      <x:c r="D84" s="21" t="str">
        <x:v>상품군종류</x:v>
      </x:c>
      <x:c r="E84" s="21" t="str">
        <x:v>ETF</x:v>
      </x:c>
      <x:c r="F84" s="29" t="str">
        <x:v>1734</x:v>
      </x:c>
      <x:c r="G84" s="29" t="str">
        <x:v>1734</x:v>
      </x:c>
      <x:c r="H84" s="31" t="str">
        <x:v>1.0</x:v>
      </x:c>
      <x:c r="I84" s="29" t="str">
        <x:v>0</x:v>
      </x:c>
      <x:c r="J84" s="29" t="str">
        <x:v>0</x:v>
      </x:c>
      <x:c r="K84" s="29" t="str">
        <x:v>0</x:v>
      </x:c>
      <x:c r="L84" s="29" t="str">
        <x:v>0</x:v>
      </x:c>
      <x:c r="M84" s="29" t="str">
        <x:v>0</x:v>
      </x:c>
      <x:c r="N84" s="29" t="str">
        <x:v>0</x:v>
      </x:c>
      <x:c r="O84" s="29" t="str">
        <x:v>2</x:v>
      </x:c>
      <x:c r="P84" s="29" t="str"/>
      <x:c r="Q84" s="29" t="str"/>
      <x:c r="R84" s="21" t="str"/>
      <x:c r="S84" s="21" t="str"/>
      <x:c r="T84" s="21" t="str">
        <x:v>["ETF", "ETN"]</x:v>
      </x:c>
      <x:c r="U84" s="21" t="str">
        <x:v>[["ETF", 1202], ["ETN", 532]]</x:v>
      </x:c>
    </x:row>
    <x:row r="85">
      <x:c r="A85" s="21" t="str">
        <x:v>PREF01N001</x:v>
      </x:c>
      <x:c r="B85" s="21" t="str">
        <x:v>pd_itm_no</x:v>
      </x:c>
      <x:c r="C85" s="21" t="str">
        <x:v>text</x:v>
      </x:c>
      <x:c r="D85" s="21" t="str">
        <x:v>상품번호</x:v>
      </x:c>
      <x:c r="E85" s="21" t="str">
        <x:v>KR70000D0009</x:v>
      </x:c>
      <x:c r="F85" s="29" t="str">
        <x:v>1734</x:v>
      </x:c>
      <x:c r="G85" s="29" t="str">
        <x:v>1734</x:v>
      </x:c>
      <x:c r="H85" s="31" t="str">
        <x:v>1.0</x:v>
      </x:c>
      <x:c r="I85" s="29" t="str">
        <x:v>0</x:v>
      </x:c>
      <x:c r="J85" s="29" t="str">
        <x:v>0</x:v>
      </x:c>
      <x:c r="K85" s="29" t="str">
        <x:v>0</x:v>
      </x:c>
      <x:c r="L85" s="29" t="str">
        <x:v>0</x:v>
      </x:c>
      <x:c r="M85" s="29" t="str">
        <x:v>0</x:v>
      </x:c>
      <x:c r="N85" s="29" t="str">
        <x:v>0</x:v>
      </x:c>
      <x:c r="O85" s="29" t="str">
        <x:v>1734</x:v>
      </x:c>
      <x:c r="P85" s="29" t="str"/>
      <x:c r="Q85" s="29" t="str"/>
      <x:c r="R85" s="21" t="str"/>
      <x:c r="S85" s="21" t="str"/>
      <x:c r="T85" s="21" t="str">
        <x:v>["KR7305080004", "KRG760000148", "KR7371160003"]</x:v>
      </x:c>
      <x:c r="U85" s="21" t="str">
        <x:v>[["KR7305080004", 1], ["KRG760000148", 1], ["KR7371160003", 1], ["KR7432840007", 1], ["KR7315930008", 1], ["KRG580000518", 1], ["KR7465610004", 1], ["KR7241390004", 1], ["KRG570000999", 1], ["KR7244620001", 1]]</x:v>
      </x:c>
    </x:row>
    <x:row r="86">
      <x:c r="A86" s="21" t="str">
        <x:v>PREF01N001</x:v>
      </x:c>
      <x:c r="B86" s="21" t="str">
        <x:v>pd_itm_no_ma</x:v>
      </x:c>
      <x:c r="C86" s="21" t="str">
        <x:v>text</x:v>
      </x:c>
      <x:c r="D86" s="21" t="str">
        <x:v>상품번호_미래에셋</x:v>
      </x:c>
      <x:c r="E86" s="21" t="str">
        <x:v>A0000D0</x:v>
      </x:c>
      <x:c r="F86" s="29" t="str">
        <x:v>1734</x:v>
      </x:c>
      <x:c r="G86" s="29" t="str">
        <x:v>1734</x:v>
      </x:c>
      <x:c r="H86" s="31" t="str">
        <x:v>1.0</x:v>
      </x:c>
      <x:c r="I86" s="29" t="str">
        <x:v>0</x:v>
      </x:c>
      <x:c r="J86" s="29" t="str">
        <x:v>0</x:v>
      </x:c>
      <x:c r="K86" s="29" t="str">
        <x:v>0</x:v>
      </x:c>
      <x:c r="L86" s="29" t="str">
        <x:v>0</x:v>
      </x:c>
      <x:c r="M86" s="29" t="str">
        <x:v>0</x:v>
      </x:c>
      <x:c r="N86" s="29" t="str">
        <x:v>0</x:v>
      </x:c>
      <x:c r="O86" s="29" t="str">
        <x:v>1734</x:v>
      </x:c>
      <x:c r="P86" s="29" t="str"/>
      <x:c r="Q86" s="29" t="str"/>
      <x:c r="R86" s="21" t="str"/>
      <x:c r="S86" s="21" t="str"/>
      <x:c r="T86" s="21" t="str">
        <x:v>["A305080", "Q760014", "A371160"]</x:v>
      </x:c>
      <x:c r="U86" s="21" t="str">
        <x:v>[["A305080", 1], ["Q760014", 1], ["A371160", 1], ["A432840", 1], ["A315930", 1], ["Q580051", 1], ["A465610", 1], ["A241390", 1], ["Q570099", 1], ["A244620", 1]]</x:v>
      </x:c>
    </x:row>
    <x:row r="87">
      <x:c r="A87" s="21" t="str">
        <x:v>PREF01N001</x:v>
      </x:c>
      <x:c r="B87" s="21" t="str">
        <x:v>pd_lst_price</x:v>
      </x:c>
      <x:c r="C87" s="21" t="str">
        <x:v>numeric</x:v>
      </x:c>
      <x:c r="D87" s="21" t="str">
        <x:v>상품액면가</x:v>
      </x:c>
      <x:c r="E87" s="21" t="str">
        <x:v>0.00</x:v>
      </x:c>
      <x:c r="F87" s="29" t="str">
        <x:v>1734</x:v>
      </x:c>
      <x:c r="G87" s="29" t="str">
        <x:v>1734</x:v>
      </x:c>
      <x:c r="H87" s="31" t="str">
        <x:v>1.0</x:v>
      </x:c>
      <x:c r="I87" s="29" t="str">
        <x:v>0</x:v>
      </x:c>
      <x:c r="J87" s="29" t="str">
        <x:v>0</x:v>
      </x:c>
      <x:c r="K87" s="29" t="str">
        <x:v>0</x:v>
      </x:c>
      <x:c r="L87" s="29" t="str">
        <x:v>1734</x:v>
      </x:c>
      <x:c r="M87" s="29" t="str">
        <x:v>1734</x:v>
      </x:c>
      <x:c r="N87" s="29" t="str">
        <x:v>0</x:v>
      </x:c>
      <x:c r="O87" s="29" t="str">
        <x:v>1</x:v>
      </x:c>
      <x:c r="P87" s="29" t="str">
        <x:v>0.00</x:v>
      </x:c>
      <x:c r="Q87" s="29" t="str">
        <x:v>0.00</x:v>
      </x:c>
      <x:c r="R87" s="21" t="str"/>
      <x:c r="S87" s="21" t="str"/>
      <x:c r="T87" s="21" t="str">
        <x:v>["0.00"]</x:v>
      </x:c>
      <x:c r="U87" s="21" t="str">
        <x:v>[["0.00", 1734]]</x:v>
      </x:c>
    </x:row>
    <x:row r="88">
      <x:c r="A88" s="21" t="str">
        <x:v>PREF01N001</x:v>
      </x:c>
      <x:c r="B88" s="21" t="str">
        <x:v>pd_lst_stk_cnt</x:v>
      </x:c>
      <x:c r="C88" s="21" t="str">
        <x:v>numeric</x:v>
      </x:c>
      <x:c r="D88" s="21" t="str">
        <x:v>상품상장주식수</x:v>
      </x:c>
      <x:c r="E88" s="21" t="str">
        <x:v>6200000.00</x:v>
      </x:c>
      <x:c r="F88" s="29" t="str">
        <x:v>1734</x:v>
      </x:c>
      <x:c r="G88" s="29" t="str">
        <x:v>1734</x:v>
      </x:c>
      <x:c r="H88" s="31" t="str">
        <x:v>1.0</x:v>
      </x:c>
      <x:c r="I88" s="29" t="str">
        <x:v>0</x:v>
      </x:c>
      <x:c r="J88" s="29" t="str">
        <x:v>0</x:v>
      </x:c>
      <x:c r="K88" s="29" t="str">
        <x:v>0</x:v>
      </x:c>
      <x:c r="L88" s="29" t="str">
        <x:v>1734</x:v>
      </x:c>
      <x:c r="M88" s="29" t="str">
        <x:v>1</x:v>
      </x:c>
      <x:c r="N88" s="29" t="str">
        <x:v>0</x:v>
      </x:c>
      <x:c r="O88" s="29" t="str">
        <x:v>678</x:v>
      </x:c>
      <x:c r="P88" s="29" t="str">
        <x:v>0.00</x:v>
      </x:c>
      <x:c r="Q88" s="29" t="str">
        <x:v>11410900000.00</x:v>
      </x:c>
      <x:c r="R88" s="21" t="str"/>
      <x:c r="S88" s="21" t="str"/>
      <x:c r="T88" s="21" t="str">
        <x:v>["17500000.00", "700000.00", "90400000.00"]</x:v>
      </x:c>
      <x:c r="U88" s="21" t="str">
        <x:v>[["1000000.00", 254], ["2000000.00", 99], ["500000.00", 70], ["700000.00", 29], ["3000000.00", 26], ["600000.00", 26], ["5000000.00", 25], ["200000.00", 21], ["900000.00", 20], ["1500000.00", 19]]</x:v>
      </x:c>
    </x:row>
    <x:row r="89">
      <x:c r="A89" s="21" t="str">
        <x:v>PREF01N001</x:v>
      </x:c>
      <x:c r="B89" s="21" t="str">
        <x:v>pd_lste_dt</x:v>
      </x:c>
      <x:c r="C89" s="21" t="str">
        <x:v>text</x:v>
      </x:c>
      <x:c r="D89" s="21" t="str">
        <x:v>상품거래종료일자</x:v>
      </x:c>
      <x:c r="E89" s="21" t="str">
        <x:v>99991231</x:v>
      </x:c>
      <x:c r="F89" s="29" t="str">
        <x:v>1734</x:v>
      </x:c>
      <x:c r="G89" s="29" t="str">
        <x:v>1733</x:v>
      </x:c>
      <x:c r="H89" s="31" t="str">
        <x:v>0.999423</x:v>
      </x:c>
      <x:c r="I89" s="29" t="str">
        <x:v>1</x:v>
      </x:c>
      <x:c r="J89" s="29" t="str">
        <x:v>0</x:v>
      </x:c>
      <x:c r="K89" s="29" t="str">
        <x:v>0</x:v>
      </x:c>
      <x:c r="L89" s="29" t="str">
        <x:v>1733</x:v>
      </x:c>
      <x:c r="M89" s="29" t="str">
        <x:v>0</x:v>
      </x:c>
      <x:c r="N89" s="29" t="str">
        <x:v>0</x:v>
      </x:c>
      <x:c r="O89" s="29" t="str">
        <x:v>80</x:v>
      </x:c>
      <x:c r="P89" s="29" t="str">
        <x:v>20250116</x:v>
      </x:c>
      <x:c r="Q89" s="29" t="str">
        <x:v>99991231</x:v>
      </x:c>
      <x:c r="R89" s="21" t="str">
        <x:v>20250116</x:v>
      </x:c>
      <x:c r="S89" s="21" t="str">
        <x:v>99991231</x:v>
      </x:c>
      <x:c r="T89" s="21" t="str">
        <x:v>["99991231", "20250529", "20250424"]</x:v>
      </x:c>
      <x:c r="U89" s="21" t="str">
        <x:v>[["99991231", 1521], ["20250508", 16], ["20260521", 8], ["20251002", 6], ["20250529", 5], ["20250424", 5], ["20260326", 5], ["20250225", 5], ["20250116", 5], ["20251218", 5]]</x:v>
      </x:c>
    </x:row>
    <x:row r="90">
      <x:c r="A90" s="21" t="str">
        <x:v>PREF01N001</x:v>
      </x:c>
      <x:c r="B90" s="21" t="str">
        <x:v>pd_lstg_dt</x:v>
      </x:c>
      <x:c r="C90" s="21" t="str">
        <x:v>text</x:v>
      </x:c>
      <x:c r="D90" s="21" t="str">
        <x:v>상품거래가능일자</x:v>
      </x:c>
      <x:c r="E90" s="21" t="str">
        <x:v>20241217</x:v>
      </x:c>
      <x:c r="F90" s="29" t="str">
        <x:v>1734</x:v>
      </x:c>
      <x:c r="G90" s="29" t="str">
        <x:v>1733</x:v>
      </x:c>
      <x:c r="H90" s="31" t="str">
        <x:v>0.999423</x:v>
      </x:c>
      <x:c r="I90" s="29" t="str">
        <x:v>1</x:v>
      </x:c>
      <x:c r="J90" s="29" t="str">
        <x:v>0</x:v>
      </x:c>
      <x:c r="K90" s="29" t="str">
        <x:v>0</x:v>
      </x:c>
      <x:c r="L90" s="29" t="str">
        <x:v>1733</x:v>
      </x:c>
      <x:c r="M90" s="29" t="str">
        <x:v>0</x:v>
      </x:c>
      <x:c r="N90" s="29" t="str">
        <x:v>0</x:v>
      </x:c>
      <x:c r="O90" s="29" t="str">
        <x:v>601</x:v>
      </x:c>
      <x:c r="P90" s="29" t="str">
        <x:v>10001231</x:v>
      </x:c>
      <x:c r="Q90" s="29" t="str">
        <x:v>20260616</x:v>
      </x:c>
      <x:c r="R90" s="21" t="str">
        <x:v>20021014</x:v>
      </x:c>
      <x:c r="S90" s="21" t="str">
        <x:v>20260616</x:v>
      </x:c>
      <x:c r="T90" s="21" t="str">
        <x:v>["20180830", "20241108", "20201216"]</x:v>
      </x:c>
      <x:c r="U90" s="21" t="str">
        <x:v>[["20221017", 22], ["20260527", 18], ["20220427", 17], ["20241104", 13], ["20250916", 12], ["20211109", 11], ["20211108", 11], ["20250417", 11], ["20240910", 11], ["20220630", 10]]</x:v>
      </x:c>
    </x:row>
    <x:row r="91">
      <x:c r="A91" s="21" t="str">
        <x:v>PREF01N001</x:v>
      </x:c>
      <x:c r="B91" s="21" t="str">
        <x:v>pd_mkt_id</x:v>
      </x:c>
      <x:c r="C91" s="21" t="str">
        <x:v>text</x:v>
      </x:c>
      <x:c r="D91" s="21" t="str">
        <x:v>상품거래시장코드</x:v>
      </x:c>
      <x:c r="E91" s="21" t="str">
        <x:v>STK</x:v>
      </x:c>
      <x:c r="F91" s="29" t="str">
        <x:v>1734</x:v>
      </x:c>
      <x:c r="G91" s="29" t="str">
        <x:v>1733</x:v>
      </x:c>
      <x:c r="H91" s="31" t="str">
        <x:v>0.999423</x:v>
      </x:c>
      <x:c r="I91" s="29" t="str">
        <x:v>1</x:v>
      </x:c>
      <x:c r="J91" s="29" t="str">
        <x:v>0</x:v>
      </x:c>
      <x:c r="K91" s="29" t="str">
        <x:v>0</x:v>
      </x:c>
      <x:c r="L91" s="29" t="str">
        <x:v>0</x:v>
      </x:c>
      <x:c r="M91" s="29" t="str">
        <x:v>0</x:v>
      </x:c>
      <x:c r="N91" s="29" t="str">
        <x:v>0</x:v>
      </x:c>
      <x:c r="O91" s="29" t="str">
        <x:v>1</x:v>
      </x:c>
      <x:c r="P91" s="29" t="str"/>
      <x:c r="Q91" s="29" t="str"/>
      <x:c r="R91" s="21" t="str"/>
      <x:c r="S91" s="21" t="str"/>
      <x:c r="T91" s="21" t="str">
        <x:v>["STK"]</x:v>
      </x:c>
      <x:c r="U91" s="21" t="str">
        <x:v>[["STK", 1733]]</x:v>
      </x:c>
    </x:row>
    <x:row r="92">
      <x:c r="A92" s="21" t="str">
        <x:v>PREF01N001</x:v>
      </x:c>
      <x:c r="B92" s="21" t="str">
        <x:v>pd_mkt_nm</x:v>
      </x:c>
      <x:c r="C92" s="21" t="str">
        <x:v>text</x:v>
      </x:c>
      <x:c r="D92" s="21" t="str">
        <x:v>상품거래시장</x:v>
      </x:c>
      <x:c r="E92" s="21" t="str">
        <x:v>유가증권</x:v>
      </x:c>
      <x:c r="F92" s="29" t="str">
        <x:v>1734</x:v>
      </x:c>
      <x:c r="G92" s="29" t="str">
        <x:v>1733</x:v>
      </x:c>
      <x:c r="H92" s="31" t="str">
        <x:v>0.999423</x:v>
      </x:c>
      <x:c r="I92" s="29" t="str">
        <x:v>1</x:v>
      </x:c>
      <x:c r="J92" s="29" t="str">
        <x:v>0</x:v>
      </x:c>
      <x:c r="K92" s="29" t="str">
        <x:v>0</x:v>
      </x:c>
      <x:c r="L92" s="29" t="str">
        <x:v>0</x:v>
      </x:c>
      <x:c r="M92" s="29" t="str">
        <x:v>0</x:v>
      </x:c>
      <x:c r="N92" s="29" t="str">
        <x:v>0</x:v>
      </x:c>
      <x:c r="O92" s="29" t="str">
        <x:v>1</x:v>
      </x:c>
      <x:c r="P92" s="29" t="str"/>
      <x:c r="Q92" s="29" t="str"/>
      <x:c r="R92" s="21" t="str"/>
      <x:c r="S92" s="21" t="str"/>
      <x:c r="T92" s="21" t="str">
        <x:v>["유가증권                                                                        ", "유가증권                                                                        ", "유가증권                                                                        "]</x:v>
      </x:c>
      <x:c r="U92" s="21" t="str">
        <x:v>[["유가증권", 1733]]</x:v>
      </x:c>
    </x:row>
    <x:row r="93">
      <x:c r="A93" s="21" t="str">
        <x:v>PREF01N001</x:v>
      </x:c>
      <x:c r="B93" s="21" t="str">
        <x:v>pd_nav_pshr</x:v>
      </x:c>
      <x:c r="C93" s="21" t="str">
        <x:v>numeric</x:v>
      </x:c>
      <x:c r="D93" s="21" t="str">
        <x:v>주당 순자산가치</x:v>
      </x:c>
      <x:c r="E93" s="21" t="str">
        <x:v>0.00</x:v>
      </x:c>
      <x:c r="F93" s="29" t="str">
        <x:v>1734</x:v>
      </x:c>
      <x:c r="G93" s="29" t="str">
        <x:v>1551</x:v>
      </x:c>
      <x:c r="H93" s="31" t="str">
        <x:v>0.894464</x:v>
      </x:c>
      <x:c r="I93" s="29" t="str">
        <x:v>183</x:v>
      </x:c>
      <x:c r="J93" s="29" t="str">
        <x:v>0</x:v>
      </x:c>
      <x:c r="K93" s="29" t="str">
        <x:v>0</x:v>
      </x:c>
      <x:c r="L93" s="29" t="str">
        <x:v>1551</x:v>
      </x:c>
      <x:c r="M93" s="29" t="str">
        <x:v>0</x:v>
      </x:c>
      <x:c r="N93" s="29" t="str">
        <x:v>0</x:v>
      </x:c>
      <x:c r="O93" s="29" t="str">
        <x:v>1537</x:v>
      </x:c>
      <x:c r="P93" s="29" t="str">
        <x:v>14.55</x:v>
      </x:c>
      <x:c r="Q93" s="29" t="str">
        <x:v>1074635.23</x:v>
      </x:c>
      <x:c r="R93" s="21" t="str"/>
      <x:c r="S93" s="21" t="str"/>
      <x:c r="T93" s="21" t="str">
        <x:v>["13670.67", "8145.34", "7777.31"]</x:v>
      </x:c>
      <x:c r="U93" s="21" t="str">
        <x:v>[["13380.73", 2], ["1506.50", 2], ["42266.46", 2], ["13670.67", 1], ["8145.34", 1], ["7777.31", 1], ["20931.20", 1], ["96438.36", 1], ["7114.34", 1], ["44958.08", 1]]</x:v>
      </x:c>
    </x:row>
    <x:row r="94">
      <x:c r="A94" s="21" t="str">
        <x:v>PREF01N001</x:v>
      </x:c>
      <x:c r="B94" s="21" t="str">
        <x:v>pd_net_ast_pshr</x:v>
      </x:c>
      <x:c r="C94" s="21" t="str">
        <x:v>numeric</x:v>
      </x:c>
      <x:c r="D94" s="21" t="str">
        <x:v>주당 순자산</x:v>
      </x:c>
      <x:c r="E94" s="21" t="str">
        <x:v>0.00</x:v>
      </x:c>
      <x:c r="F94" s="29" t="str">
        <x:v>1734</x:v>
      </x:c>
      <x:c r="G94" s="29" t="str">
        <x:v>1551</x:v>
      </x:c>
      <x:c r="H94" s="31" t="str">
        <x:v>0.894464</x:v>
      </x:c>
      <x:c r="I94" s="29" t="str">
        <x:v>183</x:v>
      </x:c>
      <x:c r="J94" s="29" t="str">
        <x:v>0</x:v>
      </x:c>
      <x:c r="K94" s="29" t="str">
        <x:v>0</x:v>
      </x:c>
      <x:c r="L94" s="29" t="str">
        <x:v>1551</x:v>
      </x:c>
      <x:c r="M94" s="29" t="str">
        <x:v>1551</x:v>
      </x:c>
      <x:c r="N94" s="29" t="str">
        <x:v>0</x:v>
      </x:c>
      <x:c r="O94" s="29" t="str">
        <x:v>1</x:v>
      </x:c>
      <x:c r="P94" s="29" t="str">
        <x:v>0.00</x:v>
      </x:c>
      <x:c r="Q94" s="29" t="str">
        <x:v>0.00</x:v>
      </x:c>
      <x:c r="R94" s="21" t="str"/>
      <x:c r="S94" s="21" t="str"/>
      <x:c r="T94" s="21" t="str">
        <x:v>["0.00"]</x:v>
      </x:c>
      <x:c r="U94" s="21" t="str">
        <x:v>[["0.00", 1551]]</x:v>
      </x:c>
    </x:row>
    <x:row r="95">
      <x:c r="A95" s="21" t="str">
        <x:v>PREF01N001</x:v>
      </x:c>
      <x:c r="B95" s="21" t="str">
        <x:v>pd_net_prft_pshr</x:v>
      </x:c>
      <x:c r="C95" s="21" t="str">
        <x:v>numeric</x:v>
      </x:c>
      <x:c r="D95" s="21" t="str">
        <x:v>주당 순이익</x:v>
      </x:c>
      <x:c r="E95" s="21" t="str">
        <x:v>0.00</x:v>
      </x:c>
      <x:c r="F95" s="29" t="str">
        <x:v>1734</x:v>
      </x:c>
      <x:c r="G95" s="29" t="str">
        <x:v>1551</x:v>
      </x:c>
      <x:c r="H95" s="31" t="str">
        <x:v>0.894464</x:v>
      </x:c>
      <x:c r="I95" s="29" t="str">
        <x:v>183</x:v>
      </x:c>
      <x:c r="J95" s="29" t="str">
        <x:v>0</x:v>
      </x:c>
      <x:c r="K95" s="29" t="str">
        <x:v>0</x:v>
      </x:c>
      <x:c r="L95" s="29" t="str">
        <x:v>1551</x:v>
      </x:c>
      <x:c r="M95" s="29" t="str">
        <x:v>1551</x:v>
      </x:c>
      <x:c r="N95" s="29" t="str">
        <x:v>0</x:v>
      </x:c>
      <x:c r="O95" s="29" t="str">
        <x:v>1</x:v>
      </x:c>
      <x:c r="P95" s="29" t="str">
        <x:v>0.00</x:v>
      </x:c>
      <x:c r="Q95" s="29" t="str">
        <x:v>0.00</x:v>
      </x:c>
      <x:c r="R95" s="21" t="str"/>
      <x:c r="S95" s="21" t="str"/>
      <x:c r="T95" s="21" t="str">
        <x:v>["0.00"]</x:v>
      </x:c>
      <x:c r="U95" s="21" t="str">
        <x:v>[["0.00", 1551]]</x:v>
      </x:c>
    </x:row>
    <x:row r="96">
      <x:c r="A96" s="21" t="str">
        <x:v>PREF01N001</x:v>
      </x:c>
      <x:c r="B96" s="21" t="str">
        <x:v>pd_net_rt_ast_pshr</x:v>
      </x:c>
      <x:c r="C96" s="21" t="str">
        <x:v>numeric</x:v>
      </x:c>
      <x:c r="D96" s="21" t="str">
        <x:v>주당 순자산비율</x:v>
      </x:c>
      <x:c r="E96" s="21" t="str">
        <x:v>0.00</x:v>
      </x:c>
      <x:c r="F96" s="29" t="str">
        <x:v>1734</x:v>
      </x:c>
      <x:c r="G96" s="29" t="str">
        <x:v>1551</x:v>
      </x:c>
      <x:c r="H96" s="31" t="str">
        <x:v>0.894464</x:v>
      </x:c>
      <x:c r="I96" s="29" t="str">
        <x:v>183</x:v>
      </x:c>
      <x:c r="J96" s="29" t="str">
        <x:v>0</x:v>
      </x:c>
      <x:c r="K96" s="29" t="str">
        <x:v>0</x:v>
      </x:c>
      <x:c r="L96" s="29" t="str">
        <x:v>1551</x:v>
      </x:c>
      <x:c r="M96" s="29" t="str">
        <x:v>1551</x:v>
      </x:c>
      <x:c r="N96" s="29" t="str">
        <x:v>0</x:v>
      </x:c>
      <x:c r="O96" s="29" t="str">
        <x:v>1</x:v>
      </x:c>
      <x:c r="P96" s="29" t="str">
        <x:v>0.00</x:v>
      </x:c>
      <x:c r="Q96" s="29" t="str">
        <x:v>0.00</x:v>
      </x:c>
      <x:c r="R96" s="21" t="str"/>
      <x:c r="S96" s="21" t="str"/>
      <x:c r="T96" s="21" t="str">
        <x:v>["0.00"]</x:v>
      </x:c>
      <x:c r="U96" s="21" t="str">
        <x:v>[["0.00", 1551]]</x:v>
      </x:c>
    </x:row>
    <x:row r="97">
      <x:c r="A97" s="21" t="str">
        <x:v>PREF01N001</x:v>
      </x:c>
      <x:c r="B97" s="21" t="str">
        <x:v>pd_net_tamt</x:v>
      </x:c>
      <x:c r="C97" s="21" t="str">
        <x:v>numeric</x:v>
      </x:c>
      <x:c r="D97" s="21" t="str">
        <x:v>순자산총액</x:v>
      </x:c>
      <x:c r="E97" s="21" t="str">
        <x:v>61716390155.00</x:v>
      </x:c>
      <x:c r="F97" s="29" t="str">
        <x:v>1734</x:v>
      </x:c>
      <x:c r="G97" s="29" t="str">
        <x:v>1551</x:v>
      </x:c>
      <x:c r="H97" s="31" t="str">
        <x:v>0.894464</x:v>
      </x:c>
      <x:c r="I97" s="29" t="str">
        <x:v>183</x:v>
      </x:c>
      <x:c r="J97" s="29" t="str">
        <x:v>0</x:v>
      </x:c>
      <x:c r="K97" s="29" t="str">
        <x:v>0</x:v>
      </x:c>
      <x:c r="L97" s="29" t="str">
        <x:v>1551</x:v>
      </x:c>
      <x:c r="M97" s="29" t="str">
        <x:v>0</x:v>
      </x:c>
      <x:c r="N97" s="29" t="str">
        <x:v>0</x:v>
      </x:c>
      <x:c r="O97" s="29" t="str">
        <x:v>1548</x:v>
      </x:c>
      <x:c r="P97" s="29" t="str">
        <x:v>89211572.00</x:v>
      </x:c>
      <x:c r="Q97" s="29" t="str">
        <x:v>28359162282520.00</x:v>
      </x:c>
      <x:c r="R97" s="21" t="str"/>
      <x:c r="S97" s="21" t="str"/>
      <x:c r="T97" s="21" t="str">
        <x:v>["239236722747.00", "5578538000.00", "701512924330.00"]</x:v>
      </x:c>
      <x:c r="U97" s="21" t="str">
        <x:v>[["26691220000.00", 2], ["50423940000.00", 2], ["239236722747.00", 1], ["5578538000.00", 1], ["701512924330.00", 1], ["16744962286.00", 1], ["1870904233621.00", 1], ["11039325000.00", 1], ["143865855417.00", 1], ["36630119997.00", 1]]</x:v>
      </x:c>
    </x:row>
    <x:row r="98">
      <x:c r="A98" s="21" t="str">
        <x:v>PREF01N001</x:v>
      </x:c>
      <x:c r="B98" s="21" t="str">
        <x:v>pd_nm</x:v>
      </x:c>
      <x:c r="C98" s="21" t="str">
        <x:v>text</x:v>
      </x:c>
      <x:c r="D98" s="21" t="str">
        <x:v>상품명</x:v>
      </x:c>
      <x:c r="E98" s="21" t="str">
        <x:v>미래에셋 TIGER NVDA-UST커버드콜증권상장지수투자신탁(채권혼합-파생재간접형)(합성)</x:v>
      </x:c>
      <x:c r="F98" s="29" t="str">
        <x:v>1734</x:v>
      </x:c>
      <x:c r="G98" s="29" t="str">
        <x:v>1734</x:v>
      </x:c>
      <x:c r="H98" s="31" t="str">
        <x:v>1.0</x:v>
      </x:c>
      <x:c r="I98" s="29" t="str">
        <x:v>0</x:v>
      </x:c>
      <x:c r="J98" s="29" t="str">
        <x:v>0</x:v>
      </x:c>
      <x:c r="K98" s="29" t="str">
        <x:v>0</x:v>
      </x:c>
      <x:c r="L98" s="29" t="str">
        <x:v>0</x:v>
      </x:c>
      <x:c r="M98" s="29" t="str">
        <x:v>0</x:v>
      </x:c>
      <x:c r="N98" s="29" t="str">
        <x:v>0</x:v>
      </x:c>
      <x:c r="O98" s="29" t="str">
        <x:v>1734</x:v>
      </x:c>
      <x:c r="P98" s="29" t="str"/>
      <x:c r="Q98" s="29" t="str"/>
      <x:c r="R98" s="21" t="str"/>
      <x:c r="S98" s="21" t="str"/>
      <x:c r="T98" s="21" t="str">
        <x:v>["미래에셋 TIGER 미국채10년선물증권상장지수투자신탁(채권-파생형)", "키움증권 키움 바이오TOP10 상장지수증권 제14호", "미래에셋 TIGER 차이나항셍테크증권상장지수투자신탁(주식)"]</x:v>
      </x:c>
      <x:c r="U98" s="21" t="str">
        <x:v>[["미래에셋 TIGER 미국채10년선물증권상장지수투자신탁(채권-파생형)", 1], ["키움증권 키움 바이오TOP10 상장지수증권 제14호", 1], ["미래에셋 TIGER 차이나항셍테크증권상장지수투자신탁(주식)", 1], ["NH-Amundi HANARO 미국S&amp;P500증권상장지수투자신탁(주식)", 1], ["삼성 KODEX Top5Plus Total Return증권상장지수투자신탁[주식형]", 1], ["KB증권 KB 레버리지 밀 선물 상장지수증권 제51호", 1], ["한국투자 ACE 미국빅테크TOP7 Plus레버리지증권상장지수투자신탁(주식-파생형)(합성)", 1], ["KB RISE V&amp;S셀렉트밸류채권혼합증권상장지수투자신탁(채권혼합)", 1], ["한국투자증권 한투 인버스2X엔달러선물 상장지수증권(H) 제99호", 1], ["삼성 KODEX 모멘텀PLUS증권상장지수투자신탁[주식]", 1]]</x:v>
      </x:c>
    </x:row>
    <x:row r="99">
      <x:c r="A99" s="21" t="str">
        <x:v>PREF01N001</x:v>
      </x:c>
      <x:c r="B99" s="21" t="str">
        <x:v>pd_pen_risk_nm</x:v>
      </x:c>
      <x:c r="C99" s="21" t="str">
        <x:v>text</x:v>
      </x:c>
      <x:c r="D99" s="21" t="str">
        <x:v>연금거래위험구분</x:v>
      </x:c>
      <x:c r="E99" s="21" t="str">
        <x:v>안전자산</x:v>
      </x:c>
      <x:c r="F99" s="29" t="str">
        <x:v>1734</x:v>
      </x:c>
      <x:c r="G99" s="29" t="str">
        <x:v>1734</x:v>
      </x:c>
      <x:c r="H99" s="31" t="str">
        <x:v>1.0</x:v>
      </x:c>
      <x:c r="I99" s="29" t="str">
        <x:v>0</x:v>
      </x:c>
      <x:c r="J99" s="29" t="str">
        <x:v>0</x:v>
      </x:c>
      <x:c r="K99" s="29" t="str">
        <x:v>0</x:v>
      </x:c>
      <x:c r="L99" s="29" t="str">
        <x:v>0</x:v>
      </x:c>
      <x:c r="M99" s="29" t="str">
        <x:v>0</x:v>
      </x:c>
      <x:c r="N99" s="29" t="str">
        <x:v>0</x:v>
      </x:c>
      <x:c r="O99" s="29" t="str">
        <x:v>3</x:v>
      </x:c>
      <x:c r="P99" s="29" t="str"/>
      <x:c r="Q99" s="29" t="str"/>
      <x:c r="R99" s="21" t="str"/>
      <x:c r="S99" s="21" t="str"/>
      <x:c r="T99" s="21" t="str">
        <x:v>["N", "위험자산", "안전자산"]</x:v>
      </x:c>
      <x:c r="U99" s="21" t="str">
        <x:v>[["위험자산", 788], ["N", 732], ["안전자산", 214]]</x:v>
      </x:c>
    </x:row>
    <x:row r="100">
      <x:c r="A100" s="21" t="str">
        <x:v>PREF01N001</x:v>
      </x:c>
      <x:c r="B100" s="21" t="str">
        <x:v>pd_pen_tr_yn</x:v>
      </x:c>
      <x:c r="C100" s="21" t="str">
        <x:v>text</x:v>
      </x:c>
      <x:c r="D100" s="21" t="str">
        <x:v>연금거래가능여부</x:v>
      </x:c>
      <x:c r="E100" s="21" t="str">
        <x:v>Y</x:v>
      </x:c>
      <x:c r="F100" s="29" t="str">
        <x:v>1734</x:v>
      </x:c>
      <x:c r="G100" s="29" t="str">
        <x:v>1734</x:v>
      </x:c>
      <x:c r="H100" s="31" t="str">
        <x:v>1.0</x:v>
      </x:c>
      <x:c r="I100" s="29" t="str">
        <x:v>0</x:v>
      </x:c>
      <x:c r="J100" s="29" t="str">
        <x:v>0</x:v>
      </x:c>
      <x:c r="K100" s="29" t="str">
        <x:v>0</x:v>
      </x:c>
      <x:c r="L100" s="29" t="str">
        <x:v>0</x:v>
      </x:c>
      <x:c r="M100" s="29" t="str">
        <x:v>0</x:v>
      </x:c>
      <x:c r="N100" s="29" t="str">
        <x:v>0</x:v>
      </x:c>
      <x:c r="O100" s="29" t="str">
        <x:v>2</x:v>
      </x:c>
      <x:c r="P100" s="29" t="str"/>
      <x:c r="Q100" s="29" t="str"/>
      <x:c r="R100" s="21" t="str"/>
      <x:c r="S100" s="21" t="str"/>
      <x:c r="T100" s="21" t="str">
        <x:v>["N", "Y"]</x:v>
      </x:c>
      <x:c r="U100" s="21" t="str">
        <x:v>[["Y", 1002], ["N", 732]]</x:v>
      </x:c>
    </x:row>
    <x:row r="101">
      <x:c r="A101" s="21" t="str">
        <x:v>PREF01N001</x:v>
      </x:c>
      <x:c r="B101" s="21" t="str">
        <x:v>pd_risk_cd</x:v>
      </x:c>
      <x:c r="C101" s="21" t="str">
        <x:v>text</x:v>
      </x:c>
      <x:c r="D101" s="21" t="str">
        <x:v>상품등급코드</x:v>
      </x:c>
      <x:c r="E101" s="21" t="str">
        <x:v>PD_RISK_GCD_13</x:v>
      </x:c>
      <x:c r="F101" s="29" t="str">
        <x:v>1734</x:v>
      </x:c>
      <x:c r="G101" s="29" t="str">
        <x:v>1734</x:v>
      </x:c>
      <x:c r="H101" s="31" t="str">
        <x:v>1.0</x:v>
      </x:c>
      <x:c r="I101" s="29" t="str">
        <x:v>0</x:v>
      </x:c>
      <x:c r="J101" s="29" t="str">
        <x:v>0</x:v>
      </x:c>
      <x:c r="K101" s="29" t="str">
        <x:v>0</x:v>
      </x:c>
      <x:c r="L101" s="29" t="str">
        <x:v>0</x:v>
      </x:c>
      <x:c r="M101" s="29" t="str">
        <x:v>0</x:v>
      </x:c>
      <x:c r="N101" s="29" t="str">
        <x:v>0</x:v>
      </x:c>
      <x:c r="O101" s="29" t="str">
        <x:v>6</x:v>
      </x:c>
      <x:c r="P101" s="29" t="str"/>
      <x:c r="Q101" s="29" t="str"/>
      <x:c r="R101" s="21" t="str"/>
      <x:c r="S101" s="21" t="str"/>
      <x:c r="T101" s="21" t="str">
        <x:v>["PD_RISK_GCD_14", "PD_RISK_GCD_11", "PD_RISK_GCD_12"]</x:v>
      </x:c>
      <x:c r="U101" s="21" t="str">
        <x:v>[["PD_RISK_GCD_11", 761], ["PD_RISK_GCD_12", 667], ["PD_RISK_GCD_15", 115], ["PD_RISK_GCD_14", 86], ["PD_RISK_GCD_13", 84], ["PD_RISK_GCD_16", 21]]</x:v>
      </x:c>
    </x:row>
    <x:row r="102">
      <x:c r="A102" s="21" t="str">
        <x:v>PREF01N001</x:v>
      </x:c>
      <x:c r="B102" s="21" t="str">
        <x:v>pd_risk_nm</x:v>
      </x:c>
      <x:c r="C102" s="21" t="str">
        <x:v>text</x:v>
      </x:c>
      <x:c r="D102" s="21" t="str">
        <x:v>상품등급명</x:v>
      </x:c>
      <x:c r="E102" s="21" t="str">
        <x:v>다소높은위험(3등급)</x:v>
      </x:c>
      <x:c r="F102" s="29" t="str">
        <x:v>1734</x:v>
      </x:c>
      <x:c r="G102" s="29" t="str">
        <x:v>1734</x:v>
      </x:c>
      <x:c r="H102" s="31" t="str">
        <x:v>1.0</x:v>
      </x:c>
      <x:c r="I102" s="29" t="str">
        <x:v>0</x:v>
      </x:c>
      <x:c r="J102" s="29" t="str">
        <x:v>0</x:v>
      </x:c>
      <x:c r="K102" s="29" t="str">
        <x:v>0</x:v>
      </x:c>
      <x:c r="L102" s="29" t="str">
        <x:v>0</x:v>
      </x:c>
      <x:c r="M102" s="29" t="str">
        <x:v>0</x:v>
      </x:c>
      <x:c r="N102" s="29" t="str">
        <x:v>0</x:v>
      </x:c>
      <x:c r="O102" s="29" t="str">
        <x:v>6</x:v>
      </x:c>
      <x:c r="P102" s="29" t="str"/>
      <x:c r="Q102" s="29" t="str"/>
      <x:c r="R102" s="21" t="str"/>
      <x:c r="S102" s="21" t="str"/>
      <x:c r="T102" s="21" t="str">
        <x:v>["보통위험(4등급)", "매우높은위험(1등급)", "높은위험(2등급)"]</x:v>
      </x:c>
      <x:c r="U102" s="21" t="str">
        <x:v>[["매우높은위험(1등급)", 761], ["높은위험(2등급)", 667], ["낮은위험(5등급)", 115], ["보통위험(4등급)", 86], ["다소높은위험(3등급)", 84], ["매우낮은위험(6등급)", 21]]</x:v>
      </x:c>
    </x:row>
    <x:row r="103">
      <x:c r="A103" s="21" t="str">
        <x:v>PREF01N001</x:v>
      </x:c>
      <x:c r="B103" s="21" t="str">
        <x:v>pd_sale_yn</x:v>
      </x:c>
      <x:c r="C103" s="21" t="str">
        <x:v>text</x:v>
      </x:c>
      <x:c r="D103" s="21" t="str">
        <x:v>상품판매여부</x:v>
      </x:c>
      <x:c r="E103" s="21" t="str">
        <x:v>1</x:v>
      </x:c>
      <x:c r="F103" s="29" t="str">
        <x:v>1734</x:v>
      </x:c>
      <x:c r="G103" s="29" t="str">
        <x:v>1734</x:v>
      </x:c>
      <x:c r="H103" s="31" t="str">
        <x:v>1.0</x:v>
      </x:c>
      <x:c r="I103" s="29" t="str">
        <x:v>0</x:v>
      </x:c>
      <x:c r="J103" s="29" t="str">
        <x:v>0</x:v>
      </x:c>
      <x:c r="K103" s="29" t="str">
        <x:v>0</x:v>
      </x:c>
      <x:c r="L103" s="29" t="str">
        <x:v>1734</x:v>
      </x:c>
      <x:c r="M103" s="29" t="str">
        <x:v>214</x:v>
      </x:c>
      <x:c r="N103" s="29" t="str">
        <x:v>0</x:v>
      </x:c>
      <x:c r="O103" s="29" t="str">
        <x:v>2</x:v>
      </x:c>
      <x:c r="P103" s="29" t="str">
        <x:v>0</x:v>
      </x:c>
      <x:c r="Q103" s="29" t="str">
        <x:v>1</x:v>
      </x:c>
      <x:c r="R103" s="21" t="str"/>
      <x:c r="S103" s="21" t="str"/>
      <x:c r="T103" s="21" t="str">
        <x:v>["1", "0"]</x:v>
      </x:c>
      <x:c r="U103" s="21" t="str">
        <x:v>[["1", 1520], ["0", 214]]</x:v>
      </x:c>
    </x:row>
    <x:row r="104">
      <x:c r="A104" s="21" t="str">
        <x:v>PREF01N001</x:v>
      </x:c>
      <x:c r="B104" s="21" t="str">
        <x:v>pd_sect_cd</x:v>
      </x:c>
      <x:c r="C104" s="21" t="str">
        <x:v>text</x:v>
      </x:c>
      <x:c r="D104" s="21" t="str">
        <x:v>ETF 섹터코드</x:v>
      </x:c>
      <x:c r="E104" s="21" t="str">
        <x:v>2</x:v>
      </x:c>
      <x:c r="F104" s="29" t="str">
        <x:v>1734</x:v>
      </x:c>
      <x:c r="G104" s="29" t="str">
        <x:v>1551</x:v>
      </x:c>
      <x:c r="H104" s="31" t="str">
        <x:v>0.894464</x:v>
      </x:c>
      <x:c r="I104" s="29" t="str">
        <x:v>183</x:v>
      </x:c>
      <x:c r="J104" s="29" t="str">
        <x:v>0</x:v>
      </x:c>
      <x:c r="K104" s="29" t="str">
        <x:v>0</x:v>
      </x:c>
      <x:c r="L104" s="29" t="str">
        <x:v>1551</x:v>
      </x:c>
      <x:c r="M104" s="29" t="str">
        <x:v>0</x:v>
      </x:c>
      <x:c r="N104" s="29" t="str">
        <x:v>0</x:v>
      </x:c>
      <x:c r="O104" s="29" t="str">
        <x:v>5</x:v>
      </x:c>
      <x:c r="P104" s="29" t="str">
        <x:v>2</x:v>
      </x:c>
      <x:c r="Q104" s="29" t="str">
        <x:v>9</x:v>
      </x:c>
      <x:c r="R104" s="21" t="str"/>
      <x:c r="S104" s="21" t="str"/>
      <x:c r="T104" s="21" t="str">
        <x:v>["2", "3", "9"]</x:v>
      </x:c>
      <x:c r="U104" s="21" t="str">
        <x:v>[["2", 1126], ["3", 406], ["8", 16], ["9", 2], ["4", 1]]</x:v>
      </x:c>
    </x:row>
    <x:row r="105">
      <x:c r="A105" s="21" t="str">
        <x:v>PREF01N001</x:v>
      </x:c>
      <x:c r="B105" s="21" t="str">
        <x:v>pd_sect_nm</x:v>
      </x:c>
      <x:c r="C105" s="21" t="str">
        <x:v>text</x:v>
      </x:c>
      <x:c r="D105" s="21" t="str">
        <x:v>ETF 섹터명</x:v>
      </x:c>
      <x:c r="E105" s="21" t="str"/>
      <x:c r="F105" s="29" t="str">
        <x:v>1734</x:v>
      </x:c>
      <x:c r="G105" s="29" t="str">
        <x:v>0</x:v>
      </x:c>
      <x:c r="H105" s="31" t="str">
        <x:v>0.0</x:v>
      </x:c>
      <x:c r="I105" s="29" t="str">
        <x:v>1734</x:v>
      </x:c>
      <x:c r="J105" s="29" t="str">
        <x:v>0</x:v>
      </x:c>
      <x:c r="K105" s="29" t="str">
        <x:v>0</x:v>
      </x:c>
      <x:c r="L105" s="29" t="str">
        <x:v>0</x:v>
      </x:c>
      <x:c r="M105" s="29" t="str">
        <x:v>0</x:v>
      </x:c>
      <x:c r="N105" s="29" t="str">
        <x:v>0</x:v>
      </x:c>
      <x:c r="O105" s="29" t="str">
        <x:v>0</x:v>
      </x:c>
      <x:c r="P105" s="29" t="str"/>
      <x:c r="Q105" s="29" t="str"/>
      <x:c r="R105" s="21" t="str"/>
      <x:c r="S105" s="21" t="str"/>
      <x:c r="T105" s="21" t="str">
        <x:v>[]</x:v>
      </x:c>
      <x:c r="U105" s="21" t="str">
        <x:v>[]</x:v>
      </x:c>
    </x:row>
    <x:row r="106">
      <x:c r="A106" s="21" t="str">
        <x:v>PREF01N001</x:v>
      </x:c>
      <x:c r="B106" s="21" t="str">
        <x:v>pd_spac_yn</x:v>
      </x:c>
      <x:c r="C106" s="21" t="str">
        <x:v>text</x:v>
      </x:c>
      <x:c r="D106" s="21" t="str">
        <x:v>SPAC 여부</x:v>
      </x:c>
      <x:c r="E106" s="21" t="str">
        <x:v>N</x:v>
      </x:c>
      <x:c r="F106" s="29" t="str">
        <x:v>1734</x:v>
      </x:c>
      <x:c r="G106" s="29" t="str">
        <x:v>1551</x:v>
      </x:c>
      <x:c r="H106" s="31" t="str">
        <x:v>0.894464</x:v>
      </x:c>
      <x:c r="I106" s="29" t="str">
        <x:v>183</x:v>
      </x:c>
      <x:c r="J106" s="29" t="str">
        <x:v>0</x:v>
      </x:c>
      <x:c r="K106" s="29" t="str">
        <x:v>0</x:v>
      </x:c>
      <x:c r="L106" s="29" t="str">
        <x:v>0</x:v>
      </x:c>
      <x:c r="M106" s="29" t="str">
        <x:v>0</x:v>
      </x:c>
      <x:c r="N106" s="29" t="str">
        <x:v>0</x:v>
      </x:c>
      <x:c r="O106" s="29" t="str">
        <x:v>1</x:v>
      </x:c>
      <x:c r="P106" s="29" t="str"/>
      <x:c r="Q106" s="29" t="str"/>
      <x:c r="R106" s="21" t="str"/>
      <x:c r="S106" s="21" t="str"/>
      <x:c r="T106" s="21" t="str">
        <x:v>["N"]</x:v>
      </x:c>
      <x:c r="U106" s="21" t="str">
        <x:v>[["N", 1551]]</x:v>
      </x:c>
    </x:row>
    <x:row r="107">
      <x:c r="A107" s="21" t="str">
        <x:v>PREF01N001</x:v>
      </x:c>
      <x:c r="B107" s="21" t="str">
        <x:v>pd_stk_cnt</x:v>
      </x:c>
      <x:c r="C107" s="21" t="str">
        <x:v>numeric</x:v>
      </x:c>
      <x:c r="D107" s="21" t="str">
        <x:v>상장주식수</x:v>
      </x:c>
      <x:c r="E107" s="21" t="str">
        <x:v>6150000.00</x:v>
      </x:c>
      <x:c r="F107" s="29" t="str">
        <x:v>1734</x:v>
      </x:c>
      <x:c r="G107" s="29" t="str">
        <x:v>1551</x:v>
      </x:c>
      <x:c r="H107" s="31" t="str">
        <x:v>0.894464</x:v>
      </x:c>
      <x:c r="I107" s="29" t="str">
        <x:v>183</x:v>
      </x:c>
      <x:c r="J107" s="29" t="str">
        <x:v>0</x:v>
      </x:c>
      <x:c r="K107" s="29" t="str">
        <x:v>0</x:v>
      </x:c>
      <x:c r="L107" s="29" t="str">
        <x:v>1551</x:v>
      </x:c>
      <x:c r="M107" s="29" t="str">
        <x:v>0</x:v>
      </x:c>
      <x:c r="N107" s="29" t="str">
        <x:v>0</x:v>
      </x:c>
      <x:c r="O107" s="29" t="str">
        <x:v>646</x:v>
      </x:c>
      <x:c r="P107" s="29" t="str">
        <x:v>48000.00</x:v>
      </x:c>
      <x:c r="Q107" s="29" t="str">
        <x:v>11287100000.00</x:v>
      </x:c>
      <x:c r="R107" s="21" t="str"/>
      <x:c r="S107" s="21" t="str"/>
      <x:c r="T107" s="21" t="str">
        <x:v>["17500000.00", "700000.00", "90750000.00"]</x:v>
      </x:c>
      <x:c r="U107" s="21" t="str">
        <x:v>[["1000000.00", 195], ["2000000.00", 74], ["500000.00", 69], ["700000.00", 29], ["600000.00", 25], ["3000000.00", 21], ["5000000.00", 21], ["800000.00", 18], ["900000.00", 18], ["4000000.00", 17]]</x:v>
      </x:c>
    </x:row>
    <x:row r="108">
      <x:c r="A108" s="21" t="str">
        <x:v>PREF01N001</x:v>
      </x:c>
      <x:c r="B108" s="21" t="str">
        <x:v>pd_tr_yn</x:v>
      </x:c>
      <x:c r="C108" s="21" t="str">
        <x:v>text</x:v>
      </x:c>
      <x:c r="D108" s="21" t="str">
        <x:v>상품거래정지혀부</x:v>
      </x:c>
      <x:c r="E108" s="21" t="str">
        <x:v>0</x:v>
      </x:c>
      <x:c r="F108" s="29" t="str">
        <x:v>1734</x:v>
      </x:c>
      <x:c r="G108" s="29" t="str">
        <x:v>1733</x:v>
      </x:c>
      <x:c r="H108" s="31" t="str">
        <x:v>0.999423</x:v>
      </x:c>
      <x:c r="I108" s="29" t="str">
        <x:v>1</x:v>
      </x:c>
      <x:c r="J108" s="29" t="str">
        <x:v>0</x:v>
      </x:c>
      <x:c r="K108" s="29" t="str">
        <x:v>0</x:v>
      </x:c>
      <x:c r="L108" s="29" t="str">
        <x:v>1733</x:v>
      </x:c>
      <x:c r="M108" s="29" t="str">
        <x:v>1661</x:v>
      </x:c>
      <x:c r="N108" s="29" t="str">
        <x:v>0</x:v>
      </x:c>
      <x:c r="O108" s="29" t="str">
        <x:v>2</x:v>
      </x:c>
      <x:c r="P108" s="29" t="str">
        <x:v>0</x:v>
      </x:c>
      <x:c r="Q108" s="29" t="str">
        <x:v>1</x:v>
      </x:c>
      <x:c r="R108" s="21" t="str"/>
      <x:c r="S108" s="21" t="str"/>
      <x:c r="T108" s="21" t="str">
        <x:v>["0", "1"]</x:v>
      </x:c>
      <x:c r="U108" s="21" t="str">
        <x:v>[["0", 1661], ["1", 72]]</x:v>
      </x:c>
    </x:row>
    <x:row r="109">
      <x:c r="A109" s="21" t="str">
        <x:v>PREF01N001</x:v>
      </x:c>
      <x:c r="B109" s="21" t="str">
        <x:v>ru_mkt_price</x:v>
      </x:c>
      <x:c r="C109" s="21" t="str">
        <x:v>numeric</x:v>
      </x:c>
      <x:c r="D109" s="21" t="str">
        <x:v>현재가</x:v>
      </x:c>
      <x:c r="E109" s="21" t="str">
        <x:v>0.00</x:v>
      </x:c>
      <x:c r="F109" s="29" t="str">
        <x:v>1734</x:v>
      </x:c>
      <x:c r="G109" s="29" t="str">
        <x:v>0</x:v>
      </x:c>
      <x:c r="H109" s="31" t="str">
        <x:v>0.0</x:v>
      </x:c>
      <x:c r="I109" s="29" t="str">
        <x:v>1734</x:v>
      </x:c>
      <x:c r="J109" s="29" t="str">
        <x:v>0</x:v>
      </x:c>
      <x:c r="K109" s="29" t="str">
        <x:v>0</x:v>
      </x:c>
      <x:c r="L109" s="29" t="str">
        <x:v>0</x:v>
      </x:c>
      <x:c r="M109" s="29" t="str">
        <x:v>0</x:v>
      </x:c>
      <x:c r="N109" s="29" t="str">
        <x:v>0</x:v>
      </x:c>
      <x:c r="O109" s="29" t="str">
        <x:v>0</x:v>
      </x:c>
      <x:c r="P109" s="29" t="str"/>
      <x:c r="Q109" s="29" t="str"/>
      <x:c r="R109" s="21" t="str"/>
      <x:c r="S109" s="21" t="str"/>
      <x:c r="T109" s="21" t="str">
        <x:v>[]</x:v>
      </x:c>
      <x:c r="U109" s="21" t="str">
        <x:v>[]</x:v>
      </x:c>
    </x:row>
    <x:row r="110">
      <x:c r="A110" s="21" t="str">
        <x:v>PREF01N001</x:v>
      </x:c>
      <x:c r="B110" s="21" t="str">
        <x:v>ru_mkt_volume</x:v>
      </x:c>
      <x:c r="C110" s="21" t="str">
        <x:v>numeric</x:v>
      </x:c>
      <x:c r="D110" s="21" t="str">
        <x:v>거래량</x:v>
      </x:c>
      <x:c r="E110" s="21" t="str">
        <x:v>0.00</x:v>
      </x:c>
      <x:c r="F110" s="29" t="str">
        <x:v>1734</x:v>
      </x:c>
      <x:c r="G110" s="29" t="str">
        <x:v>0</x:v>
      </x:c>
      <x:c r="H110" s="31" t="str">
        <x:v>0.0</x:v>
      </x:c>
      <x:c r="I110" s="29" t="str">
        <x:v>1734</x:v>
      </x:c>
      <x:c r="J110" s="29" t="str">
        <x:v>0</x:v>
      </x:c>
      <x:c r="K110" s="29" t="str">
        <x:v>0</x:v>
      </x:c>
      <x:c r="L110" s="29" t="str">
        <x:v>0</x:v>
      </x:c>
      <x:c r="M110" s="29" t="str">
        <x:v>0</x:v>
      </x:c>
      <x:c r="N110" s="29" t="str">
        <x:v>0</x:v>
      </x:c>
      <x:c r="O110" s="29" t="str">
        <x:v>0</x:v>
      </x:c>
      <x:c r="P110" s="29" t="str"/>
      <x:c r="Q110" s="29" t="str"/>
      <x:c r="R110" s="21" t="str"/>
      <x:c r="S110" s="21" t="str"/>
      <x:c r="T110" s="21" t="str">
        <x:v>[]</x:v>
      </x:c>
      <x:c r="U110" s="21" t="str">
        <x:v>[]</x:v>
      </x:c>
    </x:row>
    <x:row r="111">
      <x:c r="A111" s="21" t="str">
        <x:v>PREF01N001</x:v>
      </x:c>
      <x:c r="B111" s="21" t="str">
        <x:v>wu_core_yn</x:v>
      </x:c>
      <x:c r="C111" s="21" t="str">
        <x:v>text</x:v>
      </x:c>
      <x:c r="D111" s="21" t="str">
        <x:v>핵심ETF여부</x:v>
      </x:c>
      <x:c r="E111" s="21" t="str"/>
      <x:c r="F111" s="29" t="str">
        <x:v>1734</x:v>
      </x:c>
      <x:c r="G111" s="29" t="str">
        <x:v>1734</x:v>
      </x:c>
      <x:c r="H111" s="31" t="str">
        <x:v>1.0</x:v>
      </x:c>
      <x:c r="I111" s="29" t="str">
        <x:v>0</x:v>
      </x:c>
      <x:c r="J111" s="29" t="str">
        <x:v>0</x:v>
      </x:c>
      <x:c r="K111" s="29" t="str">
        <x:v>0</x:v>
      </x:c>
      <x:c r="L111" s="29" t="str">
        <x:v>0</x:v>
      </x:c>
      <x:c r="M111" s="29" t="str">
        <x:v>0</x:v>
      </x:c>
      <x:c r="N111" s="29" t="str">
        <x:v>0</x:v>
      </x:c>
      <x:c r="O111" s="29" t="str">
        <x:v>2</x:v>
      </x:c>
      <x:c r="P111" s="29" t="str"/>
      <x:c r="Q111" s="29" t="str"/>
      <x:c r="R111" s="21" t="str"/>
      <x:c r="S111" s="21" t="str"/>
      <x:c r="T111" s="21" t="str">
        <x:v>["N", "Y"]</x:v>
      </x:c>
      <x:c r="U111" s="21" t="str">
        <x:v>[["N", 1646], ["Y", 88]]</x:v>
      </x:c>
    </x:row>
    <x:row r="112">
      <x:c r="A112" s="21" t="str">
        <x:v>PREF01N001</x:v>
      </x:c>
      <x:c r="B112" s="21" t="str">
        <x:v>wu_inv_ast_type</x:v>
      </x:c>
      <x:c r="C112" s="21" t="str">
        <x:v>text</x:v>
      </x:c>
      <x:c r="D112" s="21" t="str">
        <x:v>투자자산군</x:v>
      </x:c>
      <x:c r="E112" s="21" t="str"/>
      <x:c r="F112" s="29" t="str">
        <x:v>1734</x:v>
      </x:c>
      <x:c r="G112" s="29" t="str">
        <x:v>1734</x:v>
      </x:c>
      <x:c r="H112" s="31" t="str">
        <x:v>1.0</x:v>
      </x:c>
      <x:c r="I112" s="29" t="str">
        <x:v>0</x:v>
      </x:c>
      <x:c r="J112" s="29" t="str">
        <x:v>0</x:v>
      </x:c>
      <x:c r="K112" s="29" t="str">
        <x:v>0</x:v>
      </x:c>
      <x:c r="L112" s="29" t="str">
        <x:v>0</x:v>
      </x:c>
      <x:c r="M112" s="29" t="str">
        <x:v>0</x:v>
      </x:c>
      <x:c r="N112" s="29" t="str">
        <x:v>0</x:v>
      </x:c>
      <x:c r="O112" s="29" t="str">
        <x:v>8</x:v>
      </x:c>
      <x:c r="P112" s="29" t="str"/>
      <x:c r="Q112" s="29" t="str"/>
      <x:c r="R112" s="21" t="str"/>
      <x:c r="S112" s="21" t="str"/>
      <x:c r="T112" s="21" t="str">
        <x:v>["채권", "주식", "원자재"]</x:v>
      </x:c>
      <x:c r="U112" s="21" t="str">
        <x:v>[["주식", 1069], ["채권", 261], ["원자재", 207], ["혼합자산", 78], ["단기자금", 42], ["통화", 41], ["부동산", 18], ["기타", 18]]</x:v>
      </x:c>
    </x:row>
    <x:row r="113">
      <x:c r="A113" s="21" t="str">
        <x:v>PREF01N001</x:v>
      </x:c>
      <x:c r="B113" s="21" t="str">
        <x:v>wu_inv_rgn</x:v>
      </x:c>
      <x:c r="C113" s="21" t="str">
        <x:v>text</x:v>
      </x:c>
      <x:c r="D113" s="21" t="str">
        <x:v>투자지역</x:v>
      </x:c>
      <x:c r="E113" s="21" t="str"/>
      <x:c r="F113" s="29" t="str">
        <x:v>1734</x:v>
      </x:c>
      <x:c r="G113" s="29" t="str">
        <x:v>1734</x:v>
      </x:c>
      <x:c r="H113" s="31" t="str">
        <x:v>1.0</x:v>
      </x:c>
      <x:c r="I113" s="29" t="str">
        <x:v>0</x:v>
      </x:c>
      <x:c r="J113" s="29" t="str">
        <x:v>0</x:v>
      </x:c>
      <x:c r="K113" s="29" t="str">
        <x:v>0</x:v>
      </x:c>
      <x:c r="L113" s="29" t="str">
        <x:v>0</x:v>
      </x:c>
      <x:c r="M113" s="29" t="str">
        <x:v>0</x:v>
      </x:c>
      <x:c r="N113" s="29" t="str">
        <x:v>0</x:v>
      </x:c>
      <x:c r="O113" s="29" t="str">
        <x:v>11</x:v>
      </x:c>
      <x:c r="P113" s="29" t="str"/>
      <x:c r="Q113" s="29" t="str"/>
      <x:c r="R113" s="21" t="str"/>
      <x:c r="S113" s="21" t="str"/>
      <x:c r="T113" s="21" t="str">
        <x:v>["미국", "국내", "중국"]</x:v>
      </x:c>
      <x:c r="U113" s="21" t="str">
        <x:v>[["국내", 1036], ["미국", 453], ["글로벌", 76], ["중국", 63], ["아시아", 33], ["일본", 25], ["인도", 19], ["남미/북미", 12], ["유럽", 7], ["베트남", 5]]</x:v>
      </x:c>
    </x:row>
    <x:row r="114">
      <x:c r="A114" s="21" t="str">
        <x:v>PREF01N001</x:v>
      </x:c>
      <x:c r="B114" s="21" t="str">
        <x:v>wu_upt_dt</x:v>
      </x:c>
      <x:c r="C114" s="21" t="str">
        <x:v>text</x:v>
      </x:c>
      <x:c r="D114" s="21" t="str">
        <x:v>주간갱신일자</x:v>
      </x:c>
      <x:c r="E114" s="21" t="str"/>
      <x:c r="F114" s="29" t="str">
        <x:v>1734</x:v>
      </x:c>
      <x:c r="G114" s="29" t="str">
        <x:v>1729</x:v>
      </x:c>
      <x:c r="H114" s="31" t="str">
        <x:v>0.997116</x:v>
      </x:c>
      <x:c r="I114" s="29" t="str">
        <x:v>5</x:v>
      </x:c>
      <x:c r="J114" s="29" t="str">
        <x:v>0</x:v>
      </x:c>
      <x:c r="K114" s="29" t="str">
        <x:v>0</x:v>
      </x:c>
      <x:c r="L114" s="29" t="str">
        <x:v>1729</x:v>
      </x:c>
      <x:c r="M114" s="29" t="str">
        <x:v>0</x:v>
      </x:c>
      <x:c r="N114" s="29" t="str">
        <x:v>0</x:v>
      </x:c>
      <x:c r="O114" s="29" t="str">
        <x:v>1</x:v>
      </x:c>
      <x:c r="P114" s="29" t="str">
        <x:v>20260615</x:v>
      </x:c>
      <x:c r="Q114" s="29" t="str">
        <x:v>20260615</x:v>
      </x:c>
      <x:c r="R114" s="21" t="str">
        <x:v>20260615</x:v>
      </x:c>
      <x:c r="S114" s="21" t="str">
        <x:v>20260615</x:v>
      </x:c>
      <x:c r="T114" s="21" t="str">
        <x:v>["20260615"]</x:v>
      </x:c>
      <x:c r="U114" s="21" t="str">
        <x:v>[["20260615", 1729]]</x:v>
      </x:c>
    </x:row>
    <x:row r="115">
      <x:c r="A115" s="21" t="str">
        <x:v>PREF02N001</x:v>
      </x:c>
      <x:c r="B115" s="21" t="str">
        <x:v>cu_base_index</x:v>
      </x:c>
      <x:c r="C115" s="21" t="str">
        <x:v>text</x:v>
      </x:c>
      <x:c r="D115" s="21" t="str"/>
      <x:c r="E115" s="21" t="str"/>
      <x:c r="F115" s="29" t="str">
        <x:v>5646</x:v>
      </x:c>
      <x:c r="G115" s="29" t="str">
        <x:v>5638</x:v>
      </x:c>
      <x:c r="H115" s="31" t="str">
        <x:v>0.998583</x:v>
      </x:c>
      <x:c r="I115" s="29" t="str">
        <x:v>8</x:v>
      </x:c>
      <x:c r="J115" s="29" t="str">
        <x:v>0</x:v>
      </x:c>
      <x:c r="K115" s="29" t="str">
        <x:v>0</x:v>
      </x:c>
      <x:c r="L115" s="29" t="str">
        <x:v>0</x:v>
      </x:c>
      <x:c r="M115" s="29" t="str">
        <x:v>0</x:v>
      </x:c>
      <x:c r="N115" s="29" t="str">
        <x:v>0</x:v>
      </x:c>
      <x:c r="O115" s="29" t="str">
        <x:v>1733</x:v>
      </x:c>
      <x:c r="P115" s="29" t="str"/>
      <x:c r="Q115" s="29" t="str"/>
      <x:c r="R115" s="21" t="str"/>
      <x:c r="S115" s="21" t="str"/>
      <x:c r="T115" s="21" t="str">
        <x:v>["WisdomTree US SmallCap TR USD", "Change Finance Dvrsd Impct US LgCap FosFlFr CR USD", "JP Morgan US Quality Factor TR USD"]</x:v>
      </x:c>
      <x:c r="U115" s="21" t="str">
        <x:v>[["Index is not provided by Management Company", 1984], ["Index is not available on Lipper Database", 721], ["S&amp;P 500 TR", 335], ["Bloomberg U.S. Aggregate Bond TR", 89], ["S&amp;P 500 CR", 51], ["Russell 1000 Growth TR", 35], ["Russell 1000 Value TR", 34], ["MSCI EAFE NR USD", 28], ["Russell 3000 TR", 27], ["MSCI EM (Emerging Markets) NR USD", 25]]</x:v>
      </x:c>
    </x:row>
    <x:row r="116">
      <x:c r="A116" s="21" t="str">
        <x:v>PREF02N001</x:v>
      </x:c>
      <x:c r="B116" s="21" t="str">
        <x:v>cu_charge_rt</x:v>
      </x:c>
      <x:c r="C116" s="21" t="str">
        <x:v>numeric</x:v>
      </x:c>
      <x:c r="D116" s="21" t="str"/>
      <x:c r="E116" s="21" t="str"/>
      <x:c r="F116" s="29" t="str">
        <x:v>5646</x:v>
      </x:c>
      <x:c r="G116" s="29" t="str">
        <x:v>5646</x:v>
      </x:c>
      <x:c r="H116" s="31" t="str">
        <x:v>1.0</x:v>
      </x:c>
      <x:c r="I116" s="29" t="str">
        <x:v>0</x:v>
      </x:c>
      <x:c r="J116" s="29" t="str">
        <x:v>0</x:v>
      </x:c>
      <x:c r="K116" s="29" t="str">
        <x:v>0</x:v>
      </x:c>
      <x:c r="L116" s="29" t="str">
        <x:v>5646</x:v>
      </x:c>
      <x:c r="M116" s="29" t="str">
        <x:v>363</x:v>
      </x:c>
      <x:c r="N116" s="29" t="str">
        <x:v>0</x:v>
      </x:c>
      <x:c r="O116" s="29" t="str">
        <x:v>127</x:v>
      </x:c>
      <x:c r="P116" s="29" t="str">
        <x:v>0.000000</x:v>
      </x:c>
      <x:c r="Q116" s="29" t="str">
        <x:v>2.500000</x:v>
      </x:c>
      <x:c r="R116" s="21" t="str"/>
      <x:c r="S116" s="21" t="str"/>
      <x:c r="T116" s="21" t="str">
        <x:v>["0.380000", "0.490000", "0.120000"]</x:v>
      </x:c>
      <x:c r="U116" s="21" t="str">
        <x:v>[["0.000000", 363], ["0.750000", 327], ["0.500000", 288], ["0.350000", 218], ["0.790000", 196], ["0.850000", 190], ["0.990000", 168], ["0.250000", 141], ["0.150000", 140], ["0.450000", 132]]</x:v>
      </x:c>
    </x:row>
    <x:row r="117">
      <x:c r="A117" s="21" t="str">
        <x:v>PREF02N001</x:v>
      </x:c>
      <x:c r="B117" s="21" t="str">
        <x:v>cu_etn_yn</x:v>
      </x:c>
      <x:c r="C117" s="21" t="str">
        <x:v>text</x:v>
      </x:c>
      <x:c r="D117" s="21" t="str"/>
      <x:c r="E117" s="21" t="str"/>
      <x:c r="F117" s="29" t="str">
        <x:v>5646</x:v>
      </x:c>
      <x:c r="G117" s="29" t="str">
        <x:v>59</x:v>
      </x:c>
      <x:c r="H117" s="31" t="str">
        <x:v>0.01045</x:v>
      </x:c>
      <x:c r="I117" s="29" t="str">
        <x:v>5587</x:v>
      </x:c>
      <x:c r="J117" s="29" t="str">
        <x:v>0</x:v>
      </x:c>
      <x:c r="K117" s="29" t="str">
        <x:v>0</x:v>
      </x:c>
      <x:c r="L117" s="29" t="str">
        <x:v>0</x:v>
      </x:c>
      <x:c r="M117" s="29" t="str">
        <x:v>0</x:v>
      </x:c>
      <x:c r="N117" s="29" t="str">
        <x:v>0</x:v>
      </x:c>
      <x:c r="O117" s="29" t="str">
        <x:v>1</x:v>
      </x:c>
      <x:c r="P117" s="29" t="str"/>
      <x:c r="Q117" s="29" t="str"/>
      <x:c r="R117" s="21" t="str"/>
      <x:c r="S117" s="21" t="str"/>
      <x:c r="T117" s="21" t="str">
        <x:v>["Y"]</x:v>
      </x:c>
      <x:c r="U117" s="21" t="str">
        <x:v>[["Y", 59]]</x:v>
      </x:c>
    </x:row>
    <x:row r="118">
      <x:c r="A118" s="21" t="str">
        <x:v>PREF02N001</x:v>
      </x:c>
      <x:c r="B118" s="21" t="str">
        <x:v>cu_fund_mgmt_co</x:v>
      </x:c>
      <x:c r="C118" s="21" t="str">
        <x:v>text</x:v>
      </x:c>
      <x:c r="D118" s="21" t="str"/>
      <x:c r="E118" s="21" t="str"/>
      <x:c r="F118" s="29" t="str">
        <x:v>5646</x:v>
      </x:c>
      <x:c r="G118" s="29" t="str">
        <x:v>5638</x:v>
      </x:c>
      <x:c r="H118" s="31" t="str">
        <x:v>0.998583</x:v>
      </x:c>
      <x:c r="I118" s="29" t="str">
        <x:v>8</x:v>
      </x:c>
      <x:c r="J118" s="29" t="str">
        <x:v>0</x:v>
      </x:c>
      <x:c r="K118" s="29" t="str">
        <x:v>0</x:v>
      </x:c>
      <x:c r="L118" s="29" t="str">
        <x:v>0</x:v>
      </x:c>
      <x:c r="M118" s="29" t="str">
        <x:v>0</x:v>
      </x:c>
      <x:c r="N118" s="29" t="str">
        <x:v>0</x:v>
      </x:c>
      <x:c r="O118" s="29" t="str">
        <x:v>372</x:v>
      </x:c>
      <x:c r="P118" s="29" t="str"/>
      <x:c r="Q118" s="29" t="str"/>
      <x:c r="R118" s="21" t="str"/>
      <x:c r="S118" s="21" t="str"/>
      <x:c r="T118" s="21" t="str">
        <x:v>["WisdomTree Asset Management Inc", "Empowered Funds LLC", "JP Morgan Investment Management Inc"]</x:v>
      </x:c>
      <x:c r="U118" s="21" t="str">
        <x:v>[["BlackRock Fund Advisors", 497], ["First Trust Advisors LP", 316], ["Tidal Investments LLC", 298], ["Invesco Capital Management LLC", 260], ["Innovator Capital Management LLC", 185], ["SSGA Funds Management Inc", 175], ["ProShare Advisors LLC", 167], ["Rafferty Asset Management LLC", 138], ["Global X Management Co LLC", 121], ["Empowered Funds LLC", 115]]</x:v>
      </x:c>
    </x:row>
    <x:row r="119">
      <x:c r="A119" s="21" t="str">
        <x:v>PREF02N001</x:v>
      </x:c>
      <x:c r="B119" s="21" t="str">
        <x:v>cu_index_repl_mthd</x:v>
      </x:c>
      <x:c r="C119" s="21" t="str">
        <x:v>text</x:v>
      </x:c>
      <x:c r="D119" s="21" t="str"/>
      <x:c r="E119" s="21" t="str"/>
      <x:c r="F119" s="29" t="str">
        <x:v>5646</x:v>
      </x:c>
      <x:c r="G119" s="29" t="str">
        <x:v>2360</x:v>
      </x:c>
      <x:c r="H119" s="31" t="str">
        <x:v>0.417995</x:v>
      </x:c>
      <x:c r="I119" s="29" t="str">
        <x:v>3286</x:v>
      </x:c>
      <x:c r="J119" s="29" t="str">
        <x:v>0</x:v>
      </x:c>
      <x:c r="K119" s="29" t="str">
        <x:v>0</x:v>
      </x:c>
      <x:c r="L119" s="29" t="str">
        <x:v>0</x:v>
      </x:c>
      <x:c r="M119" s="29" t="str">
        <x:v>0</x:v>
      </x:c>
      <x:c r="N119" s="29" t="str">
        <x:v>0</x:v>
      </x:c>
      <x:c r="O119" s="29" t="str">
        <x:v>4</x:v>
      </x:c>
      <x:c r="P119" s="29" t="str"/>
      <x:c r="Q119" s="29" t="str"/>
      <x:c r="R119" s="21" t="str"/>
      <x:c r="S119" s="21" t="str"/>
      <x:c r="T119" s="21" t="str">
        <x:v>["Optimized", "Swap", "Full"]</x:v>
      </x:c>
      <x:c r="U119" s="21" t="str">
        <x:v>[["Optimized", 1802], ["Swap", 289], ["Full", 263], ["Other", 6]]</x:v>
      </x:c>
    </x:row>
    <x:row r="120">
      <x:c r="A120" s="21" t="str">
        <x:v>PREF02N001</x:v>
      </x:c>
      <x:c r="B120" s="21" t="str">
        <x:v>cu_index_tracking_yn</x:v>
      </x:c>
      <x:c r="C120" s="21" t="str">
        <x:v>text</x:v>
      </x:c>
      <x:c r="D120" s="21" t="str"/>
      <x:c r="E120" s="21" t="str"/>
      <x:c r="F120" s="29" t="str">
        <x:v>5646</x:v>
      </x:c>
      <x:c r="G120" s="29" t="str">
        <x:v>2360</x:v>
      </x:c>
      <x:c r="H120" s="31" t="str">
        <x:v>0.417995</x:v>
      </x:c>
      <x:c r="I120" s="29" t="str">
        <x:v>3286</x:v>
      </x:c>
      <x:c r="J120" s="29" t="str">
        <x:v>0</x:v>
      </x:c>
      <x:c r="K120" s="29" t="str">
        <x:v>0</x:v>
      </x:c>
      <x:c r="L120" s="29" t="str">
        <x:v>0</x:v>
      </x:c>
      <x:c r="M120" s="29" t="str">
        <x:v>0</x:v>
      </x:c>
      <x:c r="N120" s="29" t="str">
        <x:v>0</x:v>
      </x:c>
      <x:c r="O120" s="29" t="str">
        <x:v>1</x:v>
      </x:c>
      <x:c r="P120" s="29" t="str"/>
      <x:c r="Q120" s="29" t="str"/>
      <x:c r="R120" s="21" t="str"/>
      <x:c r="S120" s="21" t="str"/>
      <x:c r="T120" s="21" t="str">
        <x:v>["Y"]</x:v>
      </x:c>
      <x:c r="U120" s="21" t="str">
        <x:v>[["Y", 2360]]</x:v>
      </x:c>
    </x:row>
    <x:row r="121">
      <x:c r="A121" s="21" t="str">
        <x:v>PREF02N001</x:v>
      </x:c>
      <x:c r="B121" s="21" t="str">
        <x:v>cu_inverse_short_yn</x:v>
      </x:c>
      <x:c r="C121" s="21" t="str">
        <x:v>text</x:v>
      </x:c>
      <x:c r="D121" s="21" t="str"/>
      <x:c r="E121" s="21" t="str"/>
      <x:c r="F121" s="29" t="str">
        <x:v>5646</x:v>
      </x:c>
      <x:c r="G121" s="29" t="str">
        <x:v>171</x:v>
      </x:c>
      <x:c r="H121" s="31" t="str">
        <x:v>0.030287</x:v>
      </x:c>
      <x:c r="I121" s="29" t="str">
        <x:v>5475</x:v>
      </x:c>
      <x:c r="J121" s="29" t="str">
        <x:v>0</x:v>
      </x:c>
      <x:c r="K121" s="29" t="str">
        <x:v>0</x:v>
      </x:c>
      <x:c r="L121" s="29" t="str">
        <x:v>0</x:v>
      </x:c>
      <x:c r="M121" s="29" t="str">
        <x:v>0</x:v>
      </x:c>
      <x:c r="N121" s="29" t="str">
        <x:v>0</x:v>
      </x:c>
      <x:c r="O121" s="29" t="str">
        <x:v>1</x:v>
      </x:c>
      <x:c r="P121" s="29" t="str"/>
      <x:c r="Q121" s="29" t="str"/>
      <x:c r="R121" s="21" t="str"/>
      <x:c r="S121" s="21" t="str"/>
      <x:c r="T121" s="21" t="str">
        <x:v>["Y"]</x:v>
      </x:c>
      <x:c r="U121" s="21" t="str">
        <x:v>[["Y", 171]]</x:v>
      </x:c>
    </x:row>
    <x:row r="122">
      <x:c r="A122" s="21" t="str">
        <x:v>PREF02N001</x:v>
      </x:c>
      <x:c r="B122" s="21" t="str">
        <x:v>cu_lev_fector</x:v>
      </x:c>
      <x:c r="C122" s="21" t="str">
        <x:v>numeric</x:v>
      </x:c>
      <x:c r="D122" s="21" t="str"/>
      <x:c r="E122" s="21" t="str"/>
      <x:c r="F122" s="29" t="str">
        <x:v>5646</x:v>
      </x:c>
      <x:c r="G122" s="29" t="str">
        <x:v>0</x:v>
      </x:c>
      <x:c r="H122" s="31" t="str">
        <x:v>0.0</x:v>
      </x:c>
      <x:c r="I122" s="29" t="str">
        <x:v>5646</x:v>
      </x:c>
      <x:c r="J122" s="29" t="str">
        <x:v>0</x:v>
      </x:c>
      <x:c r="K122" s="29" t="str">
        <x:v>0</x:v>
      </x:c>
      <x:c r="L122" s="29" t="str">
        <x:v>0</x:v>
      </x:c>
      <x:c r="M122" s="29" t="str">
        <x:v>0</x:v>
      </x:c>
      <x:c r="N122" s="29" t="str">
        <x:v>0</x:v>
      </x:c>
      <x:c r="O122" s="29" t="str">
        <x:v>0</x:v>
      </x:c>
      <x:c r="P122" s="29" t="str"/>
      <x:c r="Q122" s="29" t="str"/>
      <x:c r="R122" s="21" t="str"/>
      <x:c r="S122" s="21" t="str"/>
      <x:c r="T122" s="21" t="str">
        <x:v>[]</x:v>
      </x:c>
      <x:c r="U122" s="21" t="str">
        <x:v>[]</x:v>
      </x:c>
    </x:row>
    <x:row r="123">
      <x:c r="A123" s="21" t="str">
        <x:v>PREF02N001</x:v>
      </x:c>
      <x:c r="B123" s="21" t="str">
        <x:v>cu_strtegy</x:v>
      </x:c>
      <x:c r="C123" s="21" t="str">
        <x:v>text</x:v>
      </x:c>
      <x:c r="D123" s="21" t="str"/>
      <x:c r="E123" s="21" t="str"/>
      <x:c r="F123" s="29" t="str">
        <x:v>5646</x:v>
      </x:c>
      <x:c r="G123" s="29" t="str">
        <x:v>5638</x:v>
      </x:c>
      <x:c r="H123" s="31" t="str">
        <x:v>0.998583</x:v>
      </x:c>
      <x:c r="I123" s="29" t="str">
        <x:v>8</x:v>
      </x:c>
      <x:c r="J123" s="29" t="str">
        <x:v>0</x:v>
      </x:c>
      <x:c r="K123" s="29" t="str">
        <x:v>0</x:v>
      </x:c>
      <x:c r="L123" s="29" t="str">
        <x:v>0</x:v>
      </x:c>
      <x:c r="M123" s="29" t="str">
        <x:v>0</x:v>
      </x:c>
      <x:c r="N123" s="29" t="str">
        <x:v>0</x:v>
      </x:c>
      <x:c r="O123" s="29" t="str">
        <x:v>5566</x:v>
      </x:c>
      <x:c r="P123" s="29" t="str"/>
      <x:c r="Q123" s="29" t="str"/>
      <x:c r="R123" s="21" t="str"/>
      <x:c r="S123" s="21" t="str"/>
      <x:c r="T123" s="21" t="str">
        <x:v>["The Fund seeks to track the price and yield performance, before fees and expenses, of the WisdomTree U.S. SmallCap Earnings Index. The Index is a fundamentally weighted index that is comprised of earnings-generating companies within the small-capitalization segment of the U.S. stock market.", "The Fund seeks to track the performance, before fees and expenses, of the Change Finance Diversified Impact U.S. Large Cap Fossil Fuel Free Index which measures the performance of an equal-weighted portfolio of approximately 100 large-, mid-capitalization equity securities of U.S.-listed companies.", "The Fund seeks investment results that correspond to the performance of the JP Morgan US Quality Factor Index. The Index is comprised of U.S. equity securities selected to represent quality factor characteristics. Holdings in the Index are selected primarily from the constituents of the Russell 1000 Index."]</x:v>
      </x:c>
      <x:c r="U123" s="21" t="str">
        <x:v>[["The Fund seeks to provide investors with returns that match the price return of the SPDR S&amp;P 500 ETF up to a predetermined upside cap while seeking to provide the maximum available buffer against Underlying ETF losses over an approximate period of one year. The Fund will invest its assets in FLEX Options.", 3], ["The Fund seeks long-term capital appreciation. The Fund invests in securities or other instruments that provide exposure to securities of large capitalization US issuers or that provide for the cap on gains or the buffer or deep downside protection against the losses of securities of large capitalization US issuers.", 2], ["The Fund seeks a long-term capital appreciation by investing in a portfolio of equity securities of U.S. companies, identified by the Adviser as creating value for stakeholders using the Advisers value-based screening criteria. The Fund seeks to invest at least 80% of its net assets in equity company in US.", 2], ["The Fund seeks to track the price and yield performance, before fees and expenses, of the WisdomTree U.S. SmallCap Earnings Index. The Index is a fundamentally weighted index that is comprised of earnings-generating companies within the small-capitalization segment of the U.S. stock market.", 1], ["The Fund seeks to track the performance, before fees and expenses, of the Change Finance Diversified Impact U.S. Large Cap Fossil Fuel Free Index which measures the performance of an equal-weighted portfolio of approximately 100 large-, mid-capitalization equity securities of U.S.-listed companies.", 1], ["The Fund seeks investment results that correspond to the performance of the JP Morgan US Quality Factor Index. The Index is comprised of U.S. equity securities selected to represent quality factor characteristics. Holdings in the Index are selected primarily from the constituents of the Russell 1000 Index.", 1], ["The Fund seeks investment results, before fees and expenses, that track the performance of the S&amp;P 500 Dividend Aristocrats Index. The Index targets companies that are currently members of the S&amp;P 500, have increased dividend payments each year for at least 25 years, and meet required market capitalization and liquidity.", 1], ["The Fund seeks to provide investment results that correspond to the performance of the Bloomberg Municipal 117 Year ex AMT Index. The Fund seeks to achieve its investment objective by investing at least 80% of its assets in securities included in its underlying rules-based index and in municipal securities.", 1], ["The Fund seeks to outperform a traditional 60/40 mix of global equity and fixed-income investments. The Fund is actively-managed and will primarily invest in other registered investment companies, including other actively-managed ETFs and index-based ETFs, which provide exposure to a broad range of asset classes.", 1], ["The Fund seeks to provide approximately twice (2x) the positive share price return of Tesla, Inc. (TSLA) up to an approximate upside limit, while seeking to approximately track the negative share price return of the Underlying Stock, over each full calendar month. The Fund will be offered indefinitely.", 1]]</x:v>
      </x:c>
    </x:row>
    <x:row r="124">
      <x:c r="A124" s="21" t="str">
        <x:v>PREF02N001</x:v>
      </x:c>
      <x:c r="B124" s="21" t="str">
        <x:v>cu_upt_dt</x:v>
      </x:c>
      <x:c r="C124" s="21" t="str">
        <x:v>text</x:v>
      </x:c>
      <x:c r="D124" s="21" t="str"/>
      <x:c r="E124" s="21" t="str"/>
      <x:c r="F124" s="29" t="str">
        <x:v>5646</x:v>
      </x:c>
      <x:c r="G124" s="29" t="str">
        <x:v>5646</x:v>
      </x:c>
      <x:c r="H124" s="31" t="str">
        <x:v>1.0</x:v>
      </x:c>
      <x:c r="I124" s="29" t="str">
        <x:v>0</x:v>
      </x:c>
      <x:c r="J124" s="29" t="str">
        <x:v>0</x:v>
      </x:c>
      <x:c r="K124" s="29" t="str">
        <x:v>0</x:v>
      </x:c>
      <x:c r="L124" s="29" t="str">
        <x:v>5646</x:v>
      </x:c>
      <x:c r="M124" s="29" t="str">
        <x:v>0</x:v>
      </x:c>
      <x:c r="N124" s="29" t="str">
        <x:v>0</x:v>
      </x:c>
      <x:c r="O124" s="29" t="str">
        <x:v>1</x:v>
      </x:c>
      <x:c r="P124" s="29" t="str">
        <x:v>20260614</x:v>
      </x:c>
      <x:c r="Q124" s="29" t="str">
        <x:v>20260614</x:v>
      </x:c>
      <x:c r="R124" s="21" t="str">
        <x:v>20260614</x:v>
      </x:c>
      <x:c r="S124" s="21" t="str">
        <x:v>20260614</x:v>
      </x:c>
      <x:c r="T124" s="21" t="str">
        <x:v>["20260614"]</x:v>
      </x:c>
      <x:c r="U124" s="21" t="str">
        <x:v>[["20260614", 5646]]</x:v>
      </x:c>
    </x:row>
    <x:row r="125">
      <x:c r="A125" s="21" t="str">
        <x:v>PREF02N001</x:v>
      </x:c>
      <x:c r="B125" s="21" t="str">
        <x:v>du_base_dt_match_yn</x:v>
      </x:c>
      <x:c r="C125" s="21" t="str">
        <x:v>text</x:v>
      </x:c>
      <x:c r="D125" s="21" t="str"/>
      <x:c r="E125" s="21" t="str"/>
      <x:c r="F125" s="29" t="str">
        <x:v>5646</x:v>
      </x:c>
      <x:c r="G125" s="29" t="str">
        <x:v>5636</x:v>
      </x:c>
      <x:c r="H125" s="31" t="str">
        <x:v>0.998229</x:v>
      </x:c>
      <x:c r="I125" s="29" t="str">
        <x:v>10</x:v>
      </x:c>
      <x:c r="J125" s="29" t="str">
        <x:v>0</x:v>
      </x:c>
      <x:c r="K125" s="29" t="str">
        <x:v>0</x:v>
      </x:c>
      <x:c r="L125" s="29" t="str">
        <x:v>0</x:v>
      </x:c>
      <x:c r="M125" s="29" t="str">
        <x:v>0</x:v>
      </x:c>
      <x:c r="N125" s="29" t="str">
        <x:v>0</x:v>
      </x:c>
      <x:c r="O125" s="29" t="str">
        <x:v>1</x:v>
      </x:c>
      <x:c r="P125" s="29" t="str"/>
      <x:c r="Q125" s="29" t="str"/>
      <x:c r="R125" s="21" t="str"/>
      <x:c r="S125" s="21" t="str"/>
      <x:c r="T125" s="21" t="str">
        <x:v>["N"]</x:v>
      </x:c>
      <x:c r="U125" s="21" t="str">
        <x:v>[["N", 5636]]</x:v>
      </x:c>
    </x:row>
    <x:row r="126">
      <x:c r="A126" s="21" t="str">
        <x:v>PREF02N001</x:v>
      </x:c>
      <x:c r="B126" s="21" t="str">
        <x:v>du_bpr</x:v>
      </x:c>
      <x:c r="C126" s="21" t="str">
        <x:v>numeric</x:v>
      </x:c>
      <x:c r="D126" s="21" t="str"/>
      <x:c r="E126" s="21" t="str"/>
      <x:c r="F126" s="29" t="str">
        <x:v>5646</x:v>
      </x:c>
      <x:c r="G126" s="29" t="str">
        <x:v>5636</x:v>
      </x:c>
      <x:c r="H126" s="31" t="str">
        <x:v>0.998229</x:v>
      </x:c>
      <x:c r="I126" s="29" t="str">
        <x:v>10</x:v>
      </x:c>
      <x:c r="J126" s="29" t="str">
        <x:v>0</x:v>
      </x:c>
      <x:c r="K126" s="29" t="str">
        <x:v>0</x:v>
      </x:c>
      <x:c r="L126" s="29" t="str">
        <x:v>5636</x:v>
      </x:c>
      <x:c r="M126" s="29" t="str">
        <x:v>0</x:v>
      </x:c>
      <x:c r="N126" s="29" t="str">
        <x:v>0</x:v>
      </x:c>
      <x:c r="O126" s="29" t="str">
        <x:v>5181</x:v>
      </x:c>
      <x:c r="P126" s="29" t="str">
        <x:v>0.30890000</x:v>
      </x:c>
      <x:c r="Q126" s="29" t="str">
        <x:v>118350.00000000</x:v>
      </x:c>
      <x:c r="R126" s="21" t="str"/>
      <x:c r="S126" s="21" t="str"/>
      <x:c r="T126" s="21" t="str">
        <x:v>["66.39000000", "33.00060000", "71.00000000"]</x:v>
      </x:c>
      <x:c r="U126" s="21" t="str">
        <x:v>[["25.07000000", 6], ["25.03000000", 5], ["24.17000000", 4], ["29.88000000", 3], ["45.63000000", 3], ["24.99500000", 2], ["41.98000000", 2], ["31.13000000", 2], ["18.96000000", 2], ["28.92000000", 2]]</x:v>
      </x:c>
    </x:row>
    <x:row r="127">
      <x:c r="A127" s="21" t="str">
        <x:v>PREF02N001</x:v>
      </x:c>
      <x:c r="B127" s="21" t="str">
        <x:v>du_clpr</x:v>
      </x:c>
      <x:c r="C127" s="21" t="str">
        <x:v>numeric</x:v>
      </x:c>
      <x:c r="D127" s="21" t="str"/>
      <x:c r="E127" s="21" t="str"/>
      <x:c r="F127" s="29" t="str">
        <x:v>5646</x:v>
      </x:c>
      <x:c r="G127" s="29" t="str">
        <x:v>5636</x:v>
      </x:c>
      <x:c r="H127" s="31" t="str">
        <x:v>0.998229</x:v>
      </x:c>
      <x:c r="I127" s="29" t="str">
        <x:v>10</x:v>
      </x:c>
      <x:c r="J127" s="29" t="str">
        <x:v>0</x:v>
      </x:c>
      <x:c r="K127" s="29" t="str">
        <x:v>0</x:v>
      </x:c>
      <x:c r="L127" s="29" t="str">
        <x:v>5636</x:v>
      </x:c>
      <x:c r="M127" s="29" t="str">
        <x:v>0</x:v>
      </x:c>
      <x:c r="N127" s="29" t="str">
        <x:v>0</x:v>
      </x:c>
      <x:c r="O127" s="29" t="str">
        <x:v>5105</x:v>
      </x:c>
      <x:c r="P127" s="29" t="str">
        <x:v>0.28420000</x:v>
      </x:c>
      <x:c r="Q127" s="29" t="str">
        <x:v>120950.00000000</x:v>
      </x:c>
      <x:c r="R127" s="21" t="str"/>
      <x:c r="S127" s="21" t="str"/>
      <x:c r="T127" s="21" t="str">
        <x:v>["65.88540000", "33.47900000", "72.05000000"]</x:v>
      </x:c>
      <x:c r="U127" s="21" t="str">
        <x:v>[["25.05000000", 6], ["50.84000000", 4], ["24.99000000", 3], ["28.70000000", 3], ["59.55000000", 3], ["32.99000000", 3], ["30.85000000", 3], ["50.56000000", 3], ["35.31000000", 2], ["21.50000000", 2]]</x:v>
      </x:c>
    </x:row>
    <x:row r="128">
      <x:c r="A128" s="21" t="str">
        <x:v>PREF02N001</x:v>
      </x:c>
      <x:c r="B128" s="21" t="str">
        <x:v>du_clpr_base_dt</x:v>
      </x:c>
      <x:c r="C128" s="21" t="str">
        <x:v>text</x:v>
      </x:c>
      <x:c r="D128" s="21" t="str"/>
      <x:c r="E128" s="21" t="str"/>
      <x:c r="F128" s="29" t="str">
        <x:v>5646</x:v>
      </x:c>
      <x:c r="G128" s="29" t="str">
        <x:v>5636</x:v>
      </x:c>
      <x:c r="H128" s="31" t="str">
        <x:v>0.998229</x:v>
      </x:c>
      <x:c r="I128" s="29" t="str">
        <x:v>10</x:v>
      </x:c>
      <x:c r="J128" s="29" t="str">
        <x:v>0</x:v>
      </x:c>
      <x:c r="K128" s="29" t="str">
        <x:v>0</x:v>
      </x:c>
      <x:c r="L128" s="29" t="str">
        <x:v>5636</x:v>
      </x:c>
      <x:c r="M128" s="29" t="str">
        <x:v>0</x:v>
      </x:c>
      <x:c r="N128" s="29" t="str">
        <x:v>0</x:v>
      </x:c>
      <x:c r="O128" s="29" t="str">
        <x:v>86</x:v>
      </x:c>
      <x:c r="P128" s="29" t="str">
        <x:v>20250728</x:v>
      </x:c>
      <x:c r="Q128" s="29" t="str">
        <x:v>20260616</x:v>
      </x:c>
      <x:c r="R128" s="21" t="str">
        <x:v>20250728</x:v>
      </x:c>
      <x:c r="S128" s="21" t="str">
        <x:v>20260616</x:v>
      </x:c>
      <x:c r="T128" s="21" t="str">
        <x:v>["20260616", "20260603", "20260507"]</x:v>
      </x:c>
      <x:c r="U128" s="21" t="str">
        <x:v>[["20260616", 5375], ["20260609", 14], ["20260410", 12], ["20250915", 8], ["20250916", 8], ["20250912", 8], ["20260316", 8], ["20260126", 8], ["20250917", 8], ["20250818", 8]]</x:v>
      </x:c>
    </x:row>
    <x:row r="129">
      <x:c r="A129" s="21" t="str">
        <x:v>PREF02N001</x:v>
      </x:c>
      <x:c r="B129" s="21" t="str">
        <x:v>du_clpr_src</x:v>
      </x:c>
      <x:c r="C129" s="21" t="str">
        <x:v>text</x:v>
      </x:c>
      <x:c r="D129" s="21" t="str"/>
      <x:c r="E129" s="21" t="str"/>
      <x:c r="F129" s="29" t="str">
        <x:v>5646</x:v>
      </x:c>
      <x:c r="G129" s="29" t="str">
        <x:v>5636</x:v>
      </x:c>
      <x:c r="H129" s="31" t="str">
        <x:v>0.998229</x:v>
      </x:c>
      <x:c r="I129" s="29" t="str">
        <x:v>10</x:v>
      </x:c>
      <x:c r="J129" s="29" t="str">
        <x:v>0</x:v>
      </x:c>
      <x:c r="K129" s="29" t="str">
        <x:v>0</x:v>
      </x:c>
      <x:c r="L129" s="29" t="str">
        <x:v>0</x:v>
      </x:c>
      <x:c r="M129" s="29" t="str">
        <x:v>0</x:v>
      </x:c>
      <x:c r="N129" s="29" t="str">
        <x:v>0</x:v>
      </x:c>
      <x:c r="O129" s="29" t="str">
        <x:v>1</x:v>
      </x:c>
      <x:c r="P129" s="29" t="str"/>
      <x:c r="Q129" s="29" t="str"/>
      <x:c r="R129" s="21" t="str"/>
      <x:c r="S129" s="21" t="str"/>
      <x:c r="T129" s="21" t="str">
        <x:v>["pd65n101.tday_clpr"]</x:v>
      </x:c>
      <x:c r="U129" s="21" t="str">
        <x:v>[["pd65n101.tday_clpr", 5636]]</x:v>
      </x:c>
    </x:row>
    <x:row r="130">
      <x:c r="A130" s="21" t="str">
        <x:v>PREF02N001</x:v>
      </x:c>
      <x:c r="B130" s="21" t="str">
        <x:v>du_diff_rt</x:v>
      </x:c>
      <x:c r="C130" s="21" t="str">
        <x:v>numeric</x:v>
      </x:c>
      <x:c r="D130" s="21" t="str"/>
      <x:c r="E130" s="21" t="str"/>
      <x:c r="F130" s="29" t="str">
        <x:v>5646</x:v>
      </x:c>
      <x:c r="G130" s="29" t="str">
        <x:v>3</x:v>
      </x:c>
      <x:c r="H130" s="31" t="str">
        <x:v>0.000531</x:v>
      </x:c>
      <x:c r="I130" s="29" t="str">
        <x:v>5643</x:v>
      </x:c>
      <x:c r="J130" s="29" t="str">
        <x:v>0</x:v>
      </x:c>
      <x:c r="K130" s="29" t="str">
        <x:v>0</x:v>
      </x:c>
      <x:c r="L130" s="29" t="str">
        <x:v>3</x:v>
      </x:c>
      <x:c r="M130" s="29" t="str">
        <x:v>0</x:v>
      </x:c>
      <x:c r="N130" s="29" t="str">
        <x:v>0</x:v>
      </x:c>
      <x:c r="O130" s="29" t="str">
        <x:v>3</x:v>
      </x:c>
      <x:c r="P130" s="29" t="str">
        <x:v>3.297200</x:v>
      </x:c>
      <x:c r="Q130" s="29" t="str">
        <x:v>37585.000000</x:v>
      </x:c>
      <x:c r="R130" s="21" t="str"/>
      <x:c r="S130" s="21" t="str"/>
      <x:c r="T130" s="21" t="str">
        <x:v>["3.297200", "8.117500", "37585.000000"]</x:v>
      </x:c>
      <x:c r="U130" s="21" t="str">
        <x:v>[["3.297200", 1], ["8.117500", 1], ["37585.000000", 1]]</x:v>
      </x:c>
    </x:row>
    <x:row r="131">
      <x:c r="A131" s="21" t="str">
        <x:v>PREF02N001</x:v>
      </x:c>
      <x:c r="B131" s="21" t="str">
        <x:v>du_er_1d</x:v>
      </x:c>
      <x:c r="C131" s="21" t="str">
        <x:v>numeric</x:v>
      </x:c>
      <x:c r="D131" s="21" t="str"/>
      <x:c r="E131" s="21" t="str"/>
      <x:c r="F131" s="29" t="str">
        <x:v>5646</x:v>
      </x:c>
      <x:c r="G131" s="29" t="str">
        <x:v>5388</x:v>
      </x:c>
      <x:c r="H131" s="31" t="str">
        <x:v>0.954304</x:v>
      </x:c>
      <x:c r="I131" s="29" t="str">
        <x:v>258</x:v>
      </x:c>
      <x:c r="J131" s="29" t="str">
        <x:v>0</x:v>
      </x:c>
      <x:c r="K131" s="29" t="str">
        <x:v>0</x:v>
      </x:c>
      <x:c r="L131" s="29" t="str">
        <x:v>5388</x:v>
      </x:c>
      <x:c r="M131" s="29" t="str">
        <x:v>5388</x:v>
      </x:c>
      <x:c r="N131" s="29" t="str">
        <x:v>0</x:v>
      </x:c>
      <x:c r="O131" s="29" t="str">
        <x:v>1</x:v>
      </x:c>
      <x:c r="P131" s="29" t="str">
        <x:v>0.000000</x:v>
      </x:c>
      <x:c r="Q131" s="29" t="str">
        <x:v>0.000000</x:v>
      </x:c>
      <x:c r="R131" s="21" t="str"/>
      <x:c r="S131" s="21" t="str"/>
      <x:c r="T131" s="21" t="str">
        <x:v>["0.000000"]</x:v>
      </x:c>
      <x:c r="U131" s="21" t="str">
        <x:v>[["0.000000", 5388]]</x:v>
      </x:c>
    </x:row>
    <x:row r="132">
      <x:c r="A132" s="21" t="str">
        <x:v>PREF02N001</x:v>
      </x:c>
      <x:c r="B132" s="21" t="str">
        <x:v>du_hpr</x:v>
      </x:c>
      <x:c r="C132" s="21" t="str">
        <x:v>numeric</x:v>
      </x:c>
      <x:c r="D132" s="21" t="str"/>
      <x:c r="E132" s="21" t="str"/>
      <x:c r="F132" s="29" t="str">
        <x:v>5646</x:v>
      </x:c>
      <x:c r="G132" s="29" t="str">
        <x:v>5636</x:v>
      </x:c>
      <x:c r="H132" s="31" t="str">
        <x:v>0.998229</x:v>
      </x:c>
      <x:c r="I132" s="29" t="str">
        <x:v>10</x:v>
      </x:c>
      <x:c r="J132" s="29" t="str">
        <x:v>0</x:v>
      </x:c>
      <x:c r="K132" s="29" t="str">
        <x:v>0</x:v>
      </x:c>
      <x:c r="L132" s="29" t="str">
        <x:v>5636</x:v>
      </x:c>
      <x:c r="M132" s="29" t="str">
        <x:v>0</x:v>
      </x:c>
      <x:c r="N132" s="29" t="str">
        <x:v>0</x:v>
      </x:c>
      <x:c r="O132" s="29" t="str">
        <x:v>4621</x:v>
      </x:c>
      <x:c r="P132" s="29" t="str">
        <x:v>0.39010000</x:v>
      </x:c>
      <x:c r="Q132" s="29" t="str">
        <x:v>120350.00000000</x:v>
      </x:c>
      <x:c r="R132" s="21" t="str"/>
      <x:c r="S132" s="21" t="str"/>
      <x:c r="T132" s="21" t="str">
        <x:v>["67.00000000", "33.62000000", "72.26890000"]</x:v>
      </x:c>
      <x:c r="U132" s="21" t="str">
        <x:v>[["25.18000000", 8], ["25.16000000", 7], ["25.08000000", 5], ["24.79000000", 4], ["20.70000000", 4], ["25.64000000", 4], ["49.82000000", 3], ["50.91000000", 3], ["25.15000000", 3], ["31.39000000", 3]]</x:v>
      </x:c>
    </x:row>
    <x:row r="133">
      <x:c r="A133" s="21" t="str">
        <x:v>PREF02N001</x:v>
      </x:c>
      <x:c r="B133" s="21" t="str">
        <x:v>du_last_aum</x:v>
      </x:c>
      <x:c r="C133" s="21" t="str">
        <x:v>numeric</x:v>
      </x:c>
      <x:c r="D133" s="21" t="str"/>
      <x:c r="E133" s="21" t="str"/>
      <x:c r="F133" s="29" t="str">
        <x:v>5646</x:v>
      </x:c>
      <x:c r="G133" s="29" t="str">
        <x:v>5459</x:v>
      </x:c>
      <x:c r="H133" s="31" t="str">
        <x:v>0.966879</x:v>
      </x:c>
      <x:c r="I133" s="29" t="str">
        <x:v>187</x:v>
      </x:c>
      <x:c r="J133" s="29" t="str">
        <x:v>0</x:v>
      </x:c>
      <x:c r="K133" s="29" t="str">
        <x:v>0</x:v>
      </x:c>
      <x:c r="L133" s="29" t="str">
        <x:v>5459</x:v>
      </x:c>
      <x:c r="M133" s="29" t="str">
        <x:v>8</x:v>
      </x:c>
      <x:c r="N133" s="29" t="str">
        <x:v>0</x:v>
      </x:c>
      <x:c r="O133" s="29" t="str">
        <x:v>4743</x:v>
      </x:c>
      <x:c r="P133" s="29" t="str">
        <x:v>0.00</x:v>
      </x:c>
      <x:c r="Q133" s="29" t="str">
        <x:v>995484630000.00</x:v>
      </x:c>
      <x:c r="R133" s="21" t="str"/>
      <x:c r="S133" s="21" t="str"/>
      <x:c r="T133" s="21" t="str">
        <x:v>["707510000.00", "193510000.00", "8014860000.00"]</x:v>
      </x:c>
      <x:c r="U133" s="21" t="str">
        <x:v>[["1230000.00", 4], ["3930000.00", 3], ["500000.00", 3], ["20730000.00", 3], ["9320000.00", 3], ["530000.00", 3], ["410000.00", 3], ["670000.00", 3], ["240000.00", 3], ["11030000.00", 3]]</x:v>
      </x:c>
    </x:row>
    <x:row r="134">
      <x:c r="A134" s="21" t="str">
        <x:v>PREF02N001</x:v>
      </x:c>
      <x:c r="B134" s="21" t="str">
        <x:v>du_last_nav</x:v>
      </x:c>
      <x:c r="C134" s="21" t="str">
        <x:v>numeric</x:v>
      </x:c>
      <x:c r="D134" s="21" t="str"/>
      <x:c r="E134" s="21" t="str"/>
      <x:c r="F134" s="29" t="str">
        <x:v>5646</x:v>
      </x:c>
      <x:c r="G134" s="29" t="str">
        <x:v>682</x:v>
      </x:c>
      <x:c r="H134" s="31" t="str">
        <x:v>0.120793</x:v>
      </x:c>
      <x:c r="I134" s="29" t="str">
        <x:v>4964</x:v>
      </x:c>
      <x:c r="J134" s="29" t="str">
        <x:v>0</x:v>
      </x:c>
      <x:c r="K134" s="29" t="str">
        <x:v>0</x:v>
      </x:c>
      <x:c r="L134" s="29" t="str">
        <x:v>682</x:v>
      </x:c>
      <x:c r="M134" s="29" t="str">
        <x:v>0</x:v>
      </x:c>
      <x:c r="N134" s="29" t="str">
        <x:v>0</x:v>
      </x:c>
      <x:c r="O134" s="29" t="str">
        <x:v>527</x:v>
      </x:c>
      <x:c r="P134" s="29" t="str">
        <x:v>0.200000</x:v>
      </x:c>
      <x:c r="Q134" s="29" t="str">
        <x:v>64032.000000</x:v>
      </x:c>
      <x:c r="R134" s="21" t="str"/>
      <x:c r="S134" s="21" t="str"/>
      <x:c r="T134" s="21" t="str">
        <x:v>["49.700000", "28.150000", "24.600000"]</x:v>
      </x:c>
      <x:c r="U134" s="21" t="str">
        <x:v>[["25.000000", 20], ["26.000000", 9], ["24.000000", 7], ["27.000000", 7], ["49.000000", 7], ["24.600000", 5], ["22.000000", 5], ["19.800000", 5], ["25.500000", 4], ["23.500000", 4]]</x:v>
      </x:c>
    </x:row>
    <x:row r="135">
      <x:c r="A135" s="21" t="str">
        <x:v>PREF02N001</x:v>
      </x:c>
      <x:c r="B135" s="21" t="str">
        <x:v>du_lpr</x:v>
      </x:c>
      <x:c r="C135" s="21" t="str">
        <x:v>numeric</x:v>
      </x:c>
      <x:c r="D135" s="21" t="str"/>
      <x:c r="E135" s="21" t="str"/>
      <x:c r="F135" s="29" t="str">
        <x:v>5646</x:v>
      </x:c>
      <x:c r="G135" s="29" t="str">
        <x:v>5636</x:v>
      </x:c>
      <x:c r="H135" s="31" t="str">
        <x:v>0.998229</x:v>
      </x:c>
      <x:c r="I135" s="29" t="str">
        <x:v>10</x:v>
      </x:c>
      <x:c r="J135" s="29" t="str">
        <x:v>0</x:v>
      </x:c>
      <x:c r="K135" s="29" t="str">
        <x:v>0</x:v>
      </x:c>
      <x:c r="L135" s="29" t="str">
        <x:v>5636</x:v>
      </x:c>
      <x:c r="M135" s="29" t="str">
        <x:v>0</x:v>
      </x:c>
      <x:c r="N135" s="29" t="str">
        <x:v>0</x:v>
      </x:c>
      <x:c r="O135" s="29" t="str">
        <x:v>4735</x:v>
      </x:c>
      <x:c r="P135" s="29" t="str">
        <x:v>0.28420000</x:v>
      </x:c>
      <x:c r="Q135" s="29" t="str">
        <x:v>119600.00000000</x:v>
      </x:c>
      <x:c r="R135" s="21" t="str"/>
      <x:c r="S135" s="21" t="str"/>
      <x:c r="T135" s="21" t="str">
        <x:v>["65.88540000", "33.47900000", "71.85000000"]</x:v>
      </x:c>
      <x:c r="U135" s="21" t="str">
        <x:v>[["24.99000000", 6], ["25.04000000", 6], ["29.00000000", 5], ["24.97000000", 4], ["37.94000000", 3], ["35.30000000", 3], ["38.50000000", 3], ["26.32000000", 3], ["25.45000000", 3], ["27.00000000", 3]]</x:v>
      </x:c>
    </x:row>
    <x:row r="136">
      <x:c r="A136" s="21" t="str">
        <x:v>PREF02N001</x:v>
      </x:c>
      <x:c r="B136" s="21" t="str">
        <x:v>du_nav_base_dt</x:v>
      </x:c>
      <x:c r="C136" s="21" t="str">
        <x:v>timestamp without time zone</x:v>
      </x:c>
      <x:c r="D136" s="21" t="str"/>
      <x:c r="E136" s="21" t="str"/>
      <x:c r="F136" s="29" t="str">
        <x:v>5646</x:v>
      </x:c>
      <x:c r="G136" s="29" t="str">
        <x:v>5646</x:v>
      </x:c>
      <x:c r="H136" s="31" t="str">
        <x:v>1.0</x:v>
      </x:c>
      <x:c r="I136" s="29" t="str">
        <x:v>0</x:v>
      </x:c>
      <x:c r="J136" s="29" t="str">
        <x:v>0</x:v>
      </x:c>
      <x:c r="K136" s="29" t="str">
        <x:v>0</x:v>
      </x:c>
      <x:c r="L136" s="29" t="str">
        <x:v>0</x:v>
      </x:c>
      <x:c r="M136" s="29" t="str">
        <x:v>0</x:v>
      </x:c>
      <x:c r="N136" s="29" t="str">
        <x:v>0</x:v>
      </x:c>
      <x:c r="O136" s="29" t="str">
        <x:v>1</x:v>
      </x:c>
      <x:c r="P136" s="29" t="str"/>
      <x:c r="Q136" s="29" t="str"/>
      <x:c r="R136" s="21" t="str">
        <x:v>20260614</x:v>
      </x:c>
      <x:c r="S136" s="21" t="str">
        <x:v>20260614</x:v>
      </x:c>
      <x:c r="T136" s="21" t="str">
        <x:v>["2026-06-14 00:00:00"]</x:v>
      </x:c>
      <x:c r="U136" s="21" t="str">
        <x:v>[["2026-06-14 00:00:00", 5646]]</x:v>
      </x:c>
    </x:row>
    <x:row r="137">
      <x:c r="A137" s="21" t="str">
        <x:v>PREF02N001</x:v>
      </x:c>
      <x:c r="B137" s="21" t="str">
        <x:v>du_opr</x:v>
      </x:c>
      <x:c r="C137" s="21" t="str">
        <x:v>numeric</x:v>
      </x:c>
      <x:c r="D137" s="21" t="str"/>
      <x:c r="E137" s="21" t="str"/>
      <x:c r="F137" s="29" t="str">
        <x:v>5646</x:v>
      </x:c>
      <x:c r="G137" s="29" t="str">
        <x:v>5636</x:v>
      </x:c>
      <x:c r="H137" s="31" t="str">
        <x:v>0.998229</x:v>
      </x:c>
      <x:c r="I137" s="29" t="str">
        <x:v>10</x:v>
      </x:c>
      <x:c r="J137" s="29" t="str">
        <x:v>0</x:v>
      </x:c>
      <x:c r="K137" s="29" t="str">
        <x:v>0</x:v>
      </x:c>
      <x:c r="L137" s="29" t="str">
        <x:v>5636</x:v>
      </x:c>
      <x:c r="M137" s="29" t="str">
        <x:v>0</x:v>
      </x:c>
      <x:c r="N137" s="29" t="str">
        <x:v>0</x:v>
      </x:c>
      <x:c r="O137" s="29" t="str">
        <x:v>4231</x:v>
      </x:c>
      <x:c r="P137" s="29" t="str">
        <x:v>0.37470000</x:v>
      </x:c>
      <x:c r="Q137" s="29" t="str">
        <x:v>119650.00000000</x:v>
      </x:c>
      <x:c r="R137" s="21" t="str"/>
      <x:c r="S137" s="21" t="str"/>
      <x:c r="T137" s="21" t="str">
        <x:v>["67.00000000", "33.52000000", "71.86000000"]</x:v>
      </x:c>
      <x:c r="U137" s="21" t="str">
        <x:v>[["25.08000000", 9], ["25.47000000", 7], ["29.00000000", 7], ["30.00000000", 6], ["25.15000000", 5], ["24.99000000", 5], ["25.64000000", 5], ["27.77000000", 5], ["18.90000000", 4], ["26.32000000", 4]]</x:v>
      </x:c>
    </x:row>
    <x:row r="138">
      <x:c r="A138" s="21" t="str">
        <x:v>PREF02N001</x:v>
      </x:c>
      <x:c r="B138" s="21" t="str">
        <x:v>du_upt_dt</x:v>
      </x:c>
      <x:c r="C138" s="21" t="str">
        <x:v>text</x:v>
      </x:c>
      <x:c r="D138" s="21" t="str"/>
      <x:c r="E138" s="21" t="str"/>
      <x:c r="F138" s="29" t="str">
        <x:v>5646</x:v>
      </x:c>
      <x:c r="G138" s="29" t="str">
        <x:v>5646</x:v>
      </x:c>
      <x:c r="H138" s="31" t="str">
        <x:v>1.0</x:v>
      </x:c>
      <x:c r="I138" s="29" t="str">
        <x:v>0</x:v>
      </x:c>
      <x:c r="J138" s="29" t="str">
        <x:v>0</x:v>
      </x:c>
      <x:c r="K138" s="29" t="str">
        <x:v>0</x:v>
      </x:c>
      <x:c r="L138" s="29" t="str">
        <x:v>5646</x:v>
      </x:c>
      <x:c r="M138" s="29" t="str">
        <x:v>0</x:v>
      </x:c>
      <x:c r="N138" s="29" t="str">
        <x:v>0</x:v>
      </x:c>
      <x:c r="O138" s="29" t="str">
        <x:v>88</x:v>
      </x:c>
      <x:c r="P138" s="29" t="str">
        <x:v>20250729</x:v>
      </x:c>
      <x:c r="Q138" s="29" t="str">
        <x:v>20260616</x:v>
      </x:c>
      <x:c r="R138" s="21" t="str">
        <x:v>20250729</x:v>
      </x:c>
      <x:c r="S138" s="21" t="str">
        <x:v>20260616</x:v>
      </x:c>
      <x:c r="T138" s="21" t="str">
        <x:v>["20260616", "20260604", "20260508"]</x:v>
      </x:c>
      <x:c r="U138" s="21" t="str">
        <x:v>[["20260616", 4959], ["20260613", 412], ["20260610", 14], ["20260411", 12], ["20260614", 10], ["20250916", 8], ["20250917", 8], ["20250913", 8], ["20260615", 8], ["20260317", 8]]</x:v>
      </x:c>
    </x:row>
    <x:row r="139">
      <x:c r="A139" s="21" t="str">
        <x:v>PREF02N001</x:v>
      </x:c>
      <x:c r="B139" s="21" t="str">
        <x:v>du_val_1d</x:v>
      </x:c>
      <x:c r="C139" s="21" t="str">
        <x:v>numeric</x:v>
      </x:c>
      <x:c r="D139" s="21" t="str"/>
      <x:c r="E139" s="21" t="str"/>
      <x:c r="F139" s="29" t="str">
        <x:v>5646</x:v>
      </x:c>
      <x:c r="G139" s="29" t="str">
        <x:v>5636</x:v>
      </x:c>
      <x:c r="H139" s="31" t="str">
        <x:v>0.998229</x:v>
      </x:c>
      <x:c r="I139" s="29" t="str">
        <x:v>10</x:v>
      </x:c>
      <x:c r="J139" s="29" t="str">
        <x:v>0</x:v>
      </x:c>
      <x:c r="K139" s="29" t="str">
        <x:v>0</x:v>
      </x:c>
      <x:c r="L139" s="29" t="str">
        <x:v>5636</x:v>
      </x:c>
      <x:c r="M139" s="29" t="str">
        <x:v>187</x:v>
      </x:c>
      <x:c r="N139" s="29" t="str">
        <x:v>0</x:v>
      </x:c>
      <x:c r="O139" s="29" t="str">
        <x:v>5352</x:v>
      </x:c>
      <x:c r="P139" s="29" t="str">
        <x:v>0E-8</x:v>
      </x:c>
      <x:c r="Q139" s="29" t="str">
        <x:v>34411870125.00000000</x:v>
      </x:c>
      <x:c r="R139" s="21" t="str"/>
      <x:c r="S139" s="21" t="str"/>
      <x:c r="T139" s="21" t="str">
        <x:v>["361097.00000000", "188796.00000000", "33213578.00000000"]</x:v>
      </x:c>
      <x:c r="U139" s="21" t="str">
        <x:v>[["0E-8", 187], ["1169710.00000000", 2], ["46485.00000000", 2], ["1540507.00000000", 2], ["361097.00000000", 1], ["188796.00000000", 1], ["33213578.00000000", 1], ["51643498.00000000", 1], ["1003729.00000000", 1], ["71361.00000000", 1]]</x:v>
      </x:c>
    </x:row>
    <x:row r="140">
      <x:c r="A140" s="21" t="str">
        <x:v>PREF02N001</x:v>
      </x:c>
      <x:c r="B140" s="21" t="str">
        <x:v>du_vol_1d</x:v>
      </x:c>
      <x:c r="C140" s="21" t="str">
        <x:v>numeric</x:v>
      </x:c>
      <x:c r="D140" s="21" t="str"/>
      <x:c r="E140" s="21" t="str"/>
      <x:c r="F140" s="29" t="str">
        <x:v>5646</x:v>
      </x:c>
      <x:c r="G140" s="29" t="str">
        <x:v>5636</x:v>
      </x:c>
      <x:c r="H140" s="31" t="str">
        <x:v>0.998229</x:v>
      </x:c>
      <x:c r="I140" s="29" t="str">
        <x:v>10</x:v>
      </x:c>
      <x:c r="J140" s="29" t="str">
        <x:v>0</x:v>
      </x:c>
      <x:c r="K140" s="29" t="str">
        <x:v>0</x:v>
      </x:c>
      <x:c r="L140" s="29" t="str">
        <x:v>5636</x:v>
      </x:c>
      <x:c r="M140" s="29" t="str">
        <x:v>187</x:v>
      </x:c>
      <x:c r="N140" s="29" t="str">
        <x:v>0</x:v>
      </x:c>
      <x:c r="O140" s="29" t="str">
        <x:v>4852</x:v>
      </x:c>
      <x:c r="P140" s="29" t="str">
        <x:v>0E-8</x:v>
      </x:c>
      <x:c r="Q140" s="29" t="str">
        <x:v>457196285.00000000</x:v>
      </x:c>
      <x:c r="R140" s="21" t="str"/>
      <x:c r="S140" s="21" t="str"/>
      <x:c r="T140" s="21" t="str">
        <x:v>["5445.00000000", "5626.00000000", "460569.00000000"]</x:v>
      </x:c>
      <x:c r="U140" s="21" t="str">
        <x:v>[["0E-8", 187], ["10.00000000", 6], ["200.00000000", 4], ["366.00000000", 3], ["369.00000000", 3], ["567.00000000", 3], ["305.00000000", 3], ["739.00000000", 3], ["3276.00000000", 2], ["584.00000000", 2]]</x:v>
      </x:c>
    </x:row>
    <x:row r="141">
      <x:c r="A141" s="21" t="str">
        <x:v>PREF02N001</x:v>
      </x:c>
      <x:c r="B141" s="21" t="str">
        <x:v>pd_abrv_nm</x:v>
      </x:c>
      <x:c r="C141" s="21" t="str">
        <x:v>text</x:v>
      </x:c>
      <x:c r="D141" s="21" t="str"/>
      <x:c r="E141" s="21" t="str"/>
      <x:c r="F141" s="29" t="str">
        <x:v>5646</x:v>
      </x:c>
      <x:c r="G141" s="29" t="str">
        <x:v>5646</x:v>
      </x:c>
      <x:c r="H141" s="31" t="str">
        <x:v>1.0</x:v>
      </x:c>
      <x:c r="I141" s="29" t="str">
        <x:v>0</x:v>
      </x:c>
      <x:c r="J141" s="29" t="str">
        <x:v>0</x:v>
      </x:c>
      <x:c r="K141" s="29" t="str">
        <x:v>0</x:v>
      </x:c>
      <x:c r="L141" s="29" t="str">
        <x:v>0</x:v>
      </x:c>
      <x:c r="M141" s="29" t="str">
        <x:v>0</x:v>
      </x:c>
      <x:c r="N141" s="29" t="str">
        <x:v>0</x:v>
      </x:c>
      <x:c r="O141" s="29" t="str">
        <x:v>5641</x:v>
      </x:c>
      <x:c r="P141" s="29" t="str"/>
      <x:c r="Q141" s="29" t="str"/>
      <x:c r="R141" s="21" t="str"/>
      <x:c r="S141" s="21" t="str"/>
      <x:c r="T141" s="21" t="str">
        <x:v>["EES", "CHGX", "JQUA"]</x:v>
      </x:c>
      <x:c r="U141" s="21" t="str">
        <x:v>[["EES", 1], ["CHGX", 1], ["JQUA", 1], ["NOBL", 1], ["GMUN", 1], ["OCIO", 1], ["TSLO", 1], ["TEQI", 1], ["HFSI", 1], ["FSYD", 1]]</x:v>
      </x:c>
    </x:row>
    <x:row r="142">
      <x:c r="A142" s="21" t="str">
        <x:v>PREF02N001</x:v>
      </x:c>
      <x:c r="B142" s="21" t="str">
        <x:v>pd_curr_cd</x:v>
      </x:c>
      <x:c r="C142" s="21" t="str">
        <x:v>text</x:v>
      </x:c>
      <x:c r="D142" s="21" t="str"/>
      <x:c r="E142" s="21" t="str"/>
      <x:c r="F142" s="29" t="str">
        <x:v>5646</x:v>
      </x:c>
      <x:c r="G142" s="29" t="str">
        <x:v>5638</x:v>
      </x:c>
      <x:c r="H142" s="31" t="str">
        <x:v>0.998583</x:v>
      </x:c>
      <x:c r="I142" s="29" t="str">
        <x:v>8</x:v>
      </x:c>
      <x:c r="J142" s="29" t="str">
        <x:v>0</x:v>
      </x:c>
      <x:c r="K142" s="29" t="str">
        <x:v>0</x:v>
      </x:c>
      <x:c r="L142" s="29" t="str">
        <x:v>0</x:v>
      </x:c>
      <x:c r="M142" s="29" t="str">
        <x:v>0</x:v>
      </x:c>
      <x:c r="N142" s="29" t="str">
        <x:v>0</x:v>
      </x:c>
      <x:c r="O142" s="29" t="str">
        <x:v>2</x:v>
      </x:c>
      <x:c r="P142" s="29" t="str"/>
      <x:c r="Q142" s="29" t="str"/>
      <x:c r="R142" s="21" t="str"/>
      <x:c r="S142" s="21" t="str"/>
      <x:c r="T142" s="21" t="str">
        <x:v>["USD", "INR"]</x:v>
      </x:c>
      <x:c r="U142" s="21" t="str">
        <x:v>[["USD", 5637], ["INR", 1]]</x:v>
      </x:c>
    </x:row>
    <x:row r="143">
      <x:c r="A143" s="21" t="str">
        <x:v>PREF02N001</x:v>
      </x:c>
      <x:c r="B143" s="21" t="str">
        <x:v>pd_exg_mkt_cd</x:v>
      </x:c>
      <x:c r="C143" s="21" t="str">
        <x:v>text</x:v>
      </x:c>
      <x:c r="D143" s="21" t="str"/>
      <x:c r="E143" s="21" t="str"/>
      <x:c r="F143" s="29" t="str">
        <x:v>5646</x:v>
      </x:c>
      <x:c r="G143" s="29" t="str">
        <x:v>5646</x:v>
      </x:c>
      <x:c r="H143" s="31" t="str">
        <x:v>1.0</x:v>
      </x:c>
      <x:c r="I143" s="29" t="str">
        <x:v>0</x:v>
      </x:c>
      <x:c r="J143" s="29" t="str">
        <x:v>0</x:v>
      </x:c>
      <x:c r="K143" s="29" t="str">
        <x:v>0</x:v>
      </x:c>
      <x:c r="L143" s="29" t="str">
        <x:v>31</x:v>
      </x:c>
      <x:c r="M143" s="29" t="str">
        <x:v>0</x:v>
      </x:c>
      <x:c r="N143" s="29" t="str">
        <x:v>0</x:v>
      </x:c>
      <x:c r="O143" s="29" t="str">
        <x:v>5</x:v>
      </x:c>
      <x:c r="P143" s="29" t="str">
        <x:v>101</x:v>
      </x:c>
      <x:c r="Q143" s="29" t="str">
        <x:v>102</x:v>
      </x:c>
      <x:c r="R143" s="21" t="str"/>
      <x:c r="S143" s="21" t="str"/>
      <x:c r="T143" s="21" t="str">
        <x:v>["AMX", "NAS", "NYS"]</x:v>
      </x:c>
      <x:c r="U143" s="21" t="str">
        <x:v>[["AMX", 4241], ["NAS", 1296], ["NYS", 78], ["102", 22], ["101", 9]]</x:v>
      </x:c>
    </x:row>
    <x:row r="144">
      <x:c r="A144" s="21" t="str">
        <x:v>PREF02N001</x:v>
      </x:c>
      <x:c r="B144" s="21" t="str">
        <x:v>pd_grp_no</x:v>
      </x:c>
      <x:c r="C144" s="21" t="str">
        <x:v>text</x:v>
      </x:c>
      <x:c r="D144" s="21" t="str"/>
      <x:c r="E144" s="21" t="str"/>
      <x:c r="F144" s="29" t="str">
        <x:v>5646</x:v>
      </x:c>
      <x:c r="G144" s="29" t="str">
        <x:v>5646</x:v>
      </x:c>
      <x:c r="H144" s="31" t="str">
        <x:v>1.0</x:v>
      </x:c>
      <x:c r="I144" s="29" t="str">
        <x:v>0</x:v>
      </x:c>
      <x:c r="J144" s="29" t="str">
        <x:v>0</x:v>
      </x:c>
      <x:c r="K144" s="29" t="str">
        <x:v>0</x:v>
      </x:c>
      <x:c r="L144" s="29" t="str">
        <x:v>0</x:v>
      </x:c>
      <x:c r="M144" s="29" t="str">
        <x:v>0</x:v>
      </x:c>
      <x:c r="N144" s="29" t="str">
        <x:v>0</x:v>
      </x:c>
      <x:c r="O144" s="29" t="str">
        <x:v>2</x:v>
      </x:c>
      <x:c r="P144" s="29" t="str"/>
      <x:c r="Q144" s="29" t="str"/>
      <x:c r="R144" s="21" t="str"/>
      <x:c r="S144" s="21" t="str"/>
      <x:c r="T144" s="21" t="str">
        <x:v>["ETF", "ETN"]</x:v>
      </x:c>
      <x:c r="U144" s="21" t="str">
        <x:v>[["ETF", 5587], ["ETN", 59]]</x:v>
      </x:c>
    </x:row>
    <x:row r="145">
      <x:c r="A145" s="21" t="str">
        <x:v>PREF02N001</x:v>
      </x:c>
      <x:c r="B145" s="21" t="str">
        <x:v>pd_isin_cd</x:v>
      </x:c>
      <x:c r="C145" s="21" t="str">
        <x:v>text</x:v>
      </x:c>
      <x:c r="D145" s="21" t="str"/>
      <x:c r="E145" s="21" t="str"/>
      <x:c r="F145" s="29" t="str">
        <x:v>5646</x:v>
      </x:c>
      <x:c r="G145" s="29" t="str">
        <x:v>5637</x:v>
      </x:c>
      <x:c r="H145" s="31" t="str">
        <x:v>0.998406</x:v>
      </x:c>
      <x:c r="I145" s="29" t="str">
        <x:v>9</x:v>
      </x:c>
      <x:c r="J145" s="29" t="str">
        <x:v>0</x:v>
      </x:c>
      <x:c r="K145" s="29" t="str">
        <x:v>0</x:v>
      </x:c>
      <x:c r="L145" s="29" t="str">
        <x:v>0</x:v>
      </x:c>
      <x:c r="M145" s="29" t="str">
        <x:v>0</x:v>
      </x:c>
      <x:c r="N145" s="29" t="str">
        <x:v>0</x:v>
      </x:c>
      <x:c r="O145" s="29" t="str">
        <x:v>5587</x:v>
      </x:c>
      <x:c r="P145" s="29" t="str"/>
      <x:c r="Q145" s="29" t="str"/>
      <x:c r="R145" s="21" t="str"/>
      <x:c r="S145" s="21" t="str"/>
      <x:c r="T145" s="21" t="str">
        <x:v>["US97717W5629", "US02072L1513", "US46641Q7613"]</x:v>
      </x:c>
      <x:c r="U145" s="21" t="str">
        <x:v>[["US86280R7879", 2], ["US97717W5629", 1], ["US02072L1513", 1], ["US46641Q7613", 1], ["US74348A4673", 1], ["US38149W6637", 1], ["US26922A7274", 1], ["US88340C6021", 1], ["US87283Q2066", 1], ["US41653L8752", 1]]</x:v>
      </x:c>
    </x:row>
    <x:row r="146">
      <x:c r="A146" s="21" t="str">
        <x:v>PREF02N001</x:v>
      </x:c>
      <x:c r="B146" s="21" t="str">
        <x:v>pd_itm_no</x:v>
      </x:c>
      <x:c r="C146" s="21" t="str">
        <x:v>text</x:v>
      </x:c>
      <x:c r="D146" s="21" t="str"/>
      <x:c r="E146" s="21" t="str"/>
      <x:c r="F146" s="29" t="str">
        <x:v>5646</x:v>
      </x:c>
      <x:c r="G146" s="29" t="str">
        <x:v>5646</x:v>
      </x:c>
      <x:c r="H146" s="31" t="str">
        <x:v>1.0</x:v>
      </x:c>
      <x:c r="I146" s="29" t="str">
        <x:v>0</x:v>
      </x:c>
      <x:c r="J146" s="29" t="str">
        <x:v>0</x:v>
      </x:c>
      <x:c r="K146" s="29" t="str">
        <x:v>0</x:v>
      </x:c>
      <x:c r="L146" s="29" t="str">
        <x:v>0</x:v>
      </x:c>
      <x:c r="M146" s="29" t="str">
        <x:v>0</x:v>
      </x:c>
      <x:c r="N146" s="29" t="str">
        <x:v>0</x:v>
      </x:c>
      <x:c r="O146" s="29" t="str">
        <x:v>5646</x:v>
      </x:c>
      <x:c r="P146" s="29" t="str"/>
      <x:c r="Q146" s="29" t="str"/>
      <x:c r="R146" s="21" t="str"/>
      <x:c r="S146" s="21" t="str"/>
      <x:c r="T146" s="21" t="str">
        <x:v>["EES", "CHGX.O", "JQUA.K"]</x:v>
      </x:c>
      <x:c r="U146" s="21" t="str">
        <x:v>[["EES", 1], ["CHGX.O", 1], ["JQUA.K", 1], ["NOBL.K", 1], ["GMUN.K", 1], ["OCIO.K", 1], ["TSLO.K", 1], ["TEQI.K", 1], ["HFSI.K", 1], ["FSYD.K", 1]]</x:v>
      </x:c>
    </x:row>
    <x:row r="147">
      <x:c r="A147" s="21" t="str">
        <x:v>PREF02N001</x:v>
      </x:c>
      <x:c r="B147" s="21" t="str">
        <x:v>pd_itm_no_ma</x:v>
      </x:c>
      <x:c r="C147" s="21" t="str">
        <x:v>text</x:v>
      </x:c>
      <x:c r="D147" s="21" t="str"/>
      <x:c r="E147" s="21" t="str"/>
      <x:c r="F147" s="29" t="str">
        <x:v>5646</x:v>
      </x:c>
      <x:c r="G147" s="29" t="str">
        <x:v>5646</x:v>
      </x:c>
      <x:c r="H147" s="31" t="str">
        <x:v>1.0</x:v>
      </x:c>
      <x:c r="I147" s="29" t="str">
        <x:v>0</x:v>
      </x:c>
      <x:c r="J147" s="29" t="str">
        <x:v>0</x:v>
      </x:c>
      <x:c r="K147" s="29" t="str">
        <x:v>0</x:v>
      </x:c>
      <x:c r="L147" s="29" t="str">
        <x:v>0</x:v>
      </x:c>
      <x:c r="M147" s="29" t="str">
        <x:v>0</x:v>
      </x:c>
      <x:c r="N147" s="29" t="str">
        <x:v>0</x:v>
      </x:c>
      <x:c r="O147" s="29" t="str">
        <x:v>5646</x:v>
      </x:c>
      <x:c r="P147" s="29" t="str"/>
      <x:c r="Q147" s="29" t="str"/>
      <x:c r="R147" s="21" t="str"/>
      <x:c r="S147" s="21" t="str"/>
      <x:c r="T147" s="21" t="str">
        <x:v>["EES", "CHGX.O", "JQUA.K"]</x:v>
      </x:c>
      <x:c r="U147" s="21" t="str">
        <x:v>[["EES", 1], ["CHGX.O", 1], ["JQUA.K", 1], ["NOBL.K", 1], ["GMUN.K", 1], ["OCIO.K", 1], ["TSLO.K", 1], ["TEQI.K", 1], ["HFSI.K", 1], ["FSYD.K", 1]]</x:v>
      </x:c>
    </x:row>
    <x:row r="148">
      <x:c r="A148" s="21" t="str">
        <x:v>PREF02N001</x:v>
      </x:c>
      <x:c r="B148" s="21" t="str">
        <x:v>pd_lipper_id</x:v>
      </x:c>
      <x:c r="C148" s="21" t="str">
        <x:v>text</x:v>
      </x:c>
      <x:c r="D148" s="21" t="str"/>
      <x:c r="E148" s="21" t="str"/>
      <x:c r="F148" s="29" t="str">
        <x:v>5646</x:v>
      </x:c>
      <x:c r="G148" s="29" t="str">
        <x:v>5638</x:v>
      </x:c>
      <x:c r="H148" s="31" t="str">
        <x:v>0.998583</x:v>
      </x:c>
      <x:c r="I148" s="29" t="str">
        <x:v>8</x:v>
      </x:c>
      <x:c r="J148" s="29" t="str">
        <x:v>0</x:v>
      </x:c>
      <x:c r="K148" s="29" t="str">
        <x:v>0</x:v>
      </x:c>
      <x:c r="L148" s="29" t="str">
        <x:v>5638</x:v>
      </x:c>
      <x:c r="M148" s="29" t="str">
        <x:v>0</x:v>
      </x:c>
      <x:c r="N148" s="29" t="str">
        <x:v>0</x:v>
      </x:c>
      <x:c r="O148" s="29" t="str">
        <x:v>5588</x:v>
      </x:c>
      <x:c r="P148" s="29" t="str">
        <x:v>40001121</x:v>
      </x:c>
      <x:c r="Q148" s="29" t="str">
        <x:v>68578221</x:v>
      </x:c>
      <x:c r="R148" s="21" t="str"/>
      <x:c r="S148" s="21" t="str"/>
      <x:c r="T148" s="21" t="str">
        <x:v>["40113961", "40222154", "40222489"]</x:v>
      </x:c>
      <x:c r="U148" s="21" t="str">
        <x:v>[["40302865", 2], ["40113961", 1], ["40222154", 1], ["40222489", 1], ["40205188", 1], ["40236195", 1], ["40220924", 1], ["40304391", 1], ["40230409", 1], ["40232912", 1]]</x:v>
      </x:c>
    </x:row>
    <x:row r="149">
      <x:c r="A149" s="21" t="str">
        <x:v>PREF02N001</x:v>
      </x:c>
      <x:c r="B149" s="21" t="str">
        <x:v>pd_lstg_dt</x:v>
      </x:c>
      <x:c r="C149" s="21" t="str">
        <x:v>text</x:v>
      </x:c>
      <x:c r="D149" s="21" t="str"/>
      <x:c r="E149" s="21" t="str"/>
      <x:c r="F149" s="29" t="str">
        <x:v>5646</x:v>
      </x:c>
      <x:c r="G149" s="29" t="str">
        <x:v>5646</x:v>
      </x:c>
      <x:c r="H149" s="31" t="str">
        <x:v>1.0</x:v>
      </x:c>
      <x:c r="I149" s="29" t="str">
        <x:v>0</x:v>
      </x:c>
      <x:c r="J149" s="29" t="str">
        <x:v>0</x:v>
      </x:c>
      <x:c r="K149" s="29" t="str">
        <x:v>0</x:v>
      </x:c>
      <x:c r="L149" s="29" t="str">
        <x:v>5646</x:v>
      </x:c>
      <x:c r="M149" s="29" t="str">
        <x:v>8</x:v>
      </x:c>
      <x:c r="N149" s="29" t="str">
        <x:v>0</x:v>
      </x:c>
      <x:c r="O149" s="29" t="str">
        <x:v>1956</x:v>
      </x:c>
      <x:c r="P149" s="29" t="str">
        <x:v>0</x:v>
      </x:c>
      <x:c r="Q149" s="29" t="str">
        <x:v>20260611</x:v>
      </x:c>
      <x:c r="R149" s="21" t="str">
        <x:v>19761229</x:v>
      </x:c>
      <x:c r="S149" s="21" t="str">
        <x:v>20260611</x:v>
      </x:c>
      <x:c r="T149" s="21" t="str">
        <x:v>["20070223", "20171009", "20171108"]</x:v>
      </x:c>
      <x:c r="U149" s="21" t="str">
        <x:v>[["20260602", 45], ["20260331", 26], ["20070130", 22], ["20240923", 19], ["20260601", 17], ["20251022", 17], ["20250930", 17], ["20250624", 17], ["20060619", 16], ["20251229", 16]]</x:v>
      </x:c>
    </x:row>
    <x:row r="150">
      <x:c r="A150" s="21" t="str">
        <x:v>PREF02N001</x:v>
      </x:c>
      <x:c r="B150" s="21" t="str">
        <x:v>pd_lst_price</x:v>
      </x:c>
      <x:c r="C150" s="21" t="str">
        <x:v>numeric</x:v>
      </x:c>
      <x:c r="D150" s="21" t="str"/>
      <x:c r="E150" s="21" t="str"/>
      <x:c r="F150" s="29" t="str">
        <x:v>5646</x:v>
      </x:c>
      <x:c r="G150" s="29" t="str">
        <x:v>5636</x:v>
      </x:c>
      <x:c r="H150" s="31" t="str">
        <x:v>0.998229</x:v>
      </x:c>
      <x:c r="I150" s="29" t="str">
        <x:v>10</x:v>
      </x:c>
      <x:c r="J150" s="29" t="str">
        <x:v>0</x:v>
      </x:c>
      <x:c r="K150" s="29" t="str">
        <x:v>0</x:v>
      </x:c>
      <x:c r="L150" s="29" t="str">
        <x:v>5636</x:v>
      </x:c>
      <x:c r="M150" s="29" t="str">
        <x:v>5635</x:v>
      </x:c>
      <x:c r="N150" s="29" t="str">
        <x:v>0</x:v>
      </x:c>
      <x:c r="O150" s="29" t="str">
        <x:v>2</x:v>
      </x:c>
      <x:c r="P150" s="29" t="str">
        <x:v>0E-8</x:v>
      </x:c>
      <x:c r="Q150" s="29" t="str">
        <x:v>0.01000000</x:v>
      </x:c>
      <x:c r="R150" s="21" t="str"/>
      <x:c r="S150" s="21" t="str"/>
      <x:c r="T150" s="21" t="str">
        <x:v>["0E-8", "0.01000000"]</x:v>
      </x:c>
      <x:c r="U150" s="21" t="str">
        <x:v>[["0E-8", 5635], ["0.01000000", 1]]</x:v>
      </x:c>
    </x:row>
    <x:row r="151">
      <x:c r="A151" s="21" t="str">
        <x:v>PREF02N001</x:v>
      </x:c>
      <x:c r="B151" s="21" t="str">
        <x:v>pd_lst_stk_cnt</x:v>
      </x:c>
      <x:c r="C151" s="21" t="str">
        <x:v>numeric</x:v>
      </x:c>
      <x:c r="D151" s="21" t="str"/>
      <x:c r="E151" s="21" t="str"/>
      <x:c r="F151" s="29" t="str">
        <x:v>5646</x:v>
      </x:c>
      <x:c r="G151" s="29" t="str">
        <x:v>5646</x:v>
      </x:c>
      <x:c r="H151" s="31" t="str">
        <x:v>1.0</x:v>
      </x:c>
      <x:c r="I151" s="29" t="str">
        <x:v>0</x:v>
      </x:c>
      <x:c r="J151" s="29" t="str">
        <x:v>0</x:v>
      </x:c>
      <x:c r="K151" s="29" t="str">
        <x:v>0</x:v>
      </x:c>
      <x:c r="L151" s="29" t="str">
        <x:v>5646</x:v>
      </x:c>
      <x:c r="M151" s="29" t="str">
        <x:v>86</x:v>
      </x:c>
      <x:c r="N151" s="29" t="str">
        <x:v>0</x:v>
      </x:c>
      <x:c r="O151" s="29" t="str">
        <x:v>3105</x:v>
      </x:c>
      <x:c r="P151" s="29" t="str">
        <x:v>0.00</x:v>
      </x:c>
      <x:c r="Q151" s="29" t="str">
        <x:v>3221742601.00</x:v>
      </x:c>
      <x:c r="R151" s="21" t="str"/>
      <x:c r="S151" s="21" t="str"/>
      <x:c r="T151" s="21" t="str">
        <x:v>["10650000.00", "5863240.00", "112900000.00"]</x:v>
      </x:c>
      <x:c r="U151" s="21" t="str">
        <x:v>[["0.00", 86], ["200000.00", 43], ["50000.00", 42], ["150000.00", 39], ["100000.00", 35], ["250000.00", 32], ["500000.00", 31], ["60000.00", 30], ["10000.00", 26], ["80000.00", 23]]</x:v>
      </x:c>
    </x:row>
    <x:row r="152">
      <x:c r="A152" s="21" t="str">
        <x:v>PREF02N001</x:v>
      </x:c>
      <x:c r="B152" s="21" t="str">
        <x:v>pd_mkt_id</x:v>
      </x:c>
      <x:c r="C152" s="21" t="str">
        <x:v>text</x:v>
      </x:c>
      <x:c r="D152" s="21" t="str"/>
      <x:c r="E152" s="21" t="str"/>
      <x:c r="F152" s="29" t="str">
        <x:v>5646</x:v>
      </x:c>
      <x:c r="G152" s="29" t="str">
        <x:v>5646</x:v>
      </x:c>
      <x:c r="H152" s="31" t="str">
        <x:v>1.0</x:v>
      </x:c>
      <x:c r="I152" s="29" t="str">
        <x:v>0</x:v>
      </x:c>
      <x:c r="J152" s="29" t="str">
        <x:v>0</x:v>
      </x:c>
      <x:c r="K152" s="29" t="str">
        <x:v>0</x:v>
      </x:c>
      <x:c r="L152" s="29" t="str">
        <x:v>0</x:v>
      </x:c>
      <x:c r="M152" s="29" t="str">
        <x:v>0</x:v>
      </x:c>
      <x:c r="N152" s="29" t="str">
        <x:v>0</x:v>
      </x:c>
      <x:c r="O152" s="29" t="str">
        <x:v>1</x:v>
      </x:c>
      <x:c r="P152" s="29" t="str"/>
      <x:c r="Q152" s="29" t="str"/>
      <x:c r="R152" s="21" t="str"/>
      <x:c r="S152" s="21" t="str"/>
      <x:c r="T152" s="21" t="str">
        <x:v>["US"]</x:v>
      </x:c>
      <x:c r="U152" s="21" t="str">
        <x:v>[["US", 5646]]</x:v>
      </x:c>
    </x:row>
    <x:row r="153">
      <x:c r="A153" s="21" t="str">
        <x:v>PREF02N001</x:v>
      </x:c>
      <x:c r="B153" s="21" t="str">
        <x:v>pd_nm</x:v>
      </x:c>
      <x:c r="C153" s="21" t="str">
        <x:v>text</x:v>
      </x:c>
      <x:c r="D153" s="21" t="str"/>
      <x:c r="E153" s="21" t="str"/>
      <x:c r="F153" s="29" t="str">
        <x:v>5646</x:v>
      </x:c>
      <x:c r="G153" s="29" t="str">
        <x:v>5646</x:v>
      </x:c>
      <x:c r="H153" s="31" t="str">
        <x:v>1.0</x:v>
      </x:c>
      <x:c r="I153" s="29" t="str">
        <x:v>0</x:v>
      </x:c>
      <x:c r="J153" s="29" t="str">
        <x:v>0</x:v>
      </x:c>
      <x:c r="K153" s="29" t="str">
        <x:v>0</x:v>
      </x:c>
      <x:c r="L153" s="29" t="str">
        <x:v>0</x:v>
      </x:c>
      <x:c r="M153" s="29" t="str">
        <x:v>0</x:v>
      </x:c>
      <x:c r="N153" s="29" t="str">
        <x:v>0</x:v>
      </x:c>
      <x:c r="O153" s="29" t="str">
        <x:v>5630</x:v>
      </x:c>
      <x:c r="P153" s="29" t="str"/>
      <x:c r="Q153" s="29" t="str"/>
      <x:c r="R153" s="21" t="str"/>
      <x:c r="S153" s="21" t="str"/>
      <x:c r="T153" s="21" t="str">
        <x:v>["WisdomTree US SmallCap Fund", "Stance Sustainable Beta ETF", "JPMorgan US Quality Factor ETF"]</x:v>
      </x:c>
      <x:c r="U153" s="21" t="str">
        <x:v>[["Eventide US Market ETF", 2], ["WisdomTree US SmallCap Fund", 1], ["Stance Sustainable Beta ETF", 1], ["JPMorgan US Quality Factor ETF", 1], ["ProShares S&amp;P 500 Dividend Aristocrats ETF", 1], ["Goldman Sachs Access Municipal Bond ETF", 1], ["ClearShares OCIO ETF", 1], ["Leverage Shares 2x Capped Acc TSLA Monthly ETF", 1], ["T Rowe Price Equity Income ETF", 1], ["Hartford Strategic Income ETF", 1]]</x:v>
      </x:c>
    </x:row>
    <x:row r="154">
      <x:c r="A154" s="21" t="str">
        <x:v>PREF02N001</x:v>
      </x:c>
      <x:c r="B154" s="21" t="str">
        <x:v>pd_sale_yn</x:v>
      </x:c>
      <x:c r="C154" s="21" t="str">
        <x:v>text</x:v>
      </x:c>
      <x:c r="D154" s="21" t="str"/>
      <x:c r="E154" s="21" t="str"/>
      <x:c r="F154" s="29" t="str">
        <x:v>5646</x:v>
      </x:c>
      <x:c r="G154" s="29" t="str">
        <x:v>5636</x:v>
      </x:c>
      <x:c r="H154" s="31" t="str">
        <x:v>0.998229</x:v>
      </x:c>
      <x:c r="I154" s="29" t="str">
        <x:v>10</x:v>
      </x:c>
      <x:c r="J154" s="29" t="str">
        <x:v>0</x:v>
      </x:c>
      <x:c r="K154" s="29" t="str">
        <x:v>0</x:v>
      </x:c>
      <x:c r="L154" s="29" t="str">
        <x:v>5636</x:v>
      </x:c>
      <x:c r="M154" s="29" t="str">
        <x:v>0</x:v>
      </x:c>
      <x:c r="N154" s="29" t="str">
        <x:v>0</x:v>
      </x:c>
      <x:c r="O154" s="29" t="str">
        <x:v>1</x:v>
      </x:c>
      <x:c r="P154" s="29" t="str">
        <x:v>1</x:v>
      </x:c>
      <x:c r="Q154" s="29" t="str">
        <x:v>1</x:v>
      </x:c>
      <x:c r="R154" s="21" t="str"/>
      <x:c r="S154" s="21" t="str"/>
      <x:c r="T154" s="21" t="str">
        <x:v>["1"]</x:v>
      </x:c>
      <x:c r="U154" s="21" t="str">
        <x:v>[["1", 5636]]</x:v>
      </x:c>
    </x:row>
    <x:row r="155">
      <x:c r="A155" s="21" t="str">
        <x:v>PREF02N001</x:v>
      </x:c>
      <x:c r="B155" s="21" t="str">
        <x:v>pd_trd_ccy</x:v>
      </x:c>
      <x:c r="C155" s="21" t="str">
        <x:v>text</x:v>
      </x:c>
      <x:c r="D155" s="21" t="str"/>
      <x:c r="E155" s="21" t="str"/>
      <x:c r="F155" s="29" t="str">
        <x:v>5646</x:v>
      </x:c>
      <x:c r="G155" s="29" t="str">
        <x:v>5646</x:v>
      </x:c>
      <x:c r="H155" s="31" t="str">
        <x:v>1.0</x:v>
      </x:c>
      <x:c r="I155" s="29" t="str">
        <x:v>0</x:v>
      </x:c>
      <x:c r="J155" s="29" t="str">
        <x:v>0</x:v>
      </x:c>
      <x:c r="K155" s="29" t="str">
        <x:v>0</x:v>
      </x:c>
      <x:c r="L155" s="29" t="str">
        <x:v>0</x:v>
      </x:c>
      <x:c r="M155" s="29" t="str">
        <x:v>0</x:v>
      </x:c>
      <x:c r="N155" s="29" t="str">
        <x:v>0</x:v>
      </x:c>
      <x:c r="O155" s="29" t="str">
        <x:v>1</x:v>
      </x:c>
      <x:c r="P155" s="29" t="str"/>
      <x:c r="Q155" s="29" t="str"/>
      <x:c r="R155" s="21" t="str"/>
      <x:c r="S155" s="21" t="str"/>
      <x:c r="T155" s="21" t="str">
        <x:v>["USD"]</x:v>
      </x:c>
      <x:c r="U155" s="21" t="str">
        <x:v>[["USD", 5646]]</x:v>
      </x:c>
    </x:row>
    <x:row r="156">
      <x:c r="A156" s="21" t="str">
        <x:v>PREF02N001</x:v>
      </x:c>
      <x:c r="B156" s="21" t="str">
        <x:v>pd_tr_yn</x:v>
      </x:c>
      <x:c r="C156" s="21" t="str">
        <x:v>text</x:v>
      </x:c>
      <x:c r="D156" s="21" t="str"/>
      <x:c r="E156" s="21" t="str"/>
      <x:c r="F156" s="29" t="str">
        <x:v>5646</x:v>
      </x:c>
      <x:c r="G156" s="29" t="str">
        <x:v>5636</x:v>
      </x:c>
      <x:c r="H156" s="31" t="str">
        <x:v>0.998229</x:v>
      </x:c>
      <x:c r="I156" s="29" t="str">
        <x:v>10</x:v>
      </x:c>
      <x:c r="J156" s="29" t="str">
        <x:v>0</x:v>
      </x:c>
      <x:c r="K156" s="29" t="str">
        <x:v>0</x:v>
      </x:c>
      <x:c r="L156" s="29" t="str">
        <x:v>5636</x:v>
      </x:c>
      <x:c r="M156" s="29" t="str">
        <x:v>5636</x:v>
      </x:c>
      <x:c r="N156" s="29" t="str">
        <x:v>0</x:v>
      </x:c>
      <x:c r="O156" s="29" t="str">
        <x:v>1</x:v>
      </x:c>
      <x:c r="P156" s="29" t="str">
        <x:v>0</x:v>
      </x:c>
      <x:c r="Q156" s="29" t="str">
        <x:v>0</x:v>
      </x:c>
      <x:c r="R156" s="21" t="str"/>
      <x:c r="S156" s="21" t="str"/>
      <x:c r="T156" s="21" t="str">
        <x:v>["0"]</x:v>
      </x:c>
      <x:c r="U156" s="21" t="str">
        <x:v>[["0", 5636]]</x:v>
      </x:c>
    </x:row>
    <x:row r="157">
      <x:c r="A157" s="21" t="str">
        <x:v>PREF02N001</x:v>
      </x:c>
      <x:c r="B157" s="21" t="str">
        <x:v>pd_us_cik</x:v>
      </x:c>
      <x:c r="C157" s="21" t="str">
        <x:v>text</x:v>
      </x:c>
      <x:c r="D157" s="21" t="str"/>
      <x:c r="E157" s="21" t="str"/>
      <x:c r="F157" s="29" t="str">
        <x:v>5646</x:v>
      </x:c>
      <x:c r="G157" s="29" t="str">
        <x:v>5633</x:v>
      </x:c>
      <x:c r="H157" s="31" t="str">
        <x:v>0.997697</x:v>
      </x:c>
      <x:c r="I157" s="29" t="str">
        <x:v>13</x:v>
      </x:c>
      <x:c r="J157" s="29" t="str">
        <x:v>0</x:v>
      </x:c>
      <x:c r="K157" s="29" t="str">
        <x:v>0</x:v>
      </x:c>
      <x:c r="L157" s="29" t="str">
        <x:v>5633</x:v>
      </x:c>
      <x:c r="M157" s="29" t="str">
        <x:v>0</x:v>
      </x:c>
      <x:c r="N157" s="29" t="str">
        <x:v>0</x:v>
      </x:c>
      <x:c r="O157" s="29" t="str">
        <x:v>374</x:v>
      </x:c>
      <x:c r="P157" s="29" t="str">
        <x:v>19617</x:v>
      </x:c>
      <x:c r="Q157" s="29" t="str">
        <x:v>2104659</x:v>
      </x:c>
      <x:c r="R157" s="21" t="str"/>
      <x:c r="S157" s="21" t="str"/>
      <x:c r="T157" s="21" t="str">
        <x:v>["1350487", "1592900", "1485894"]</x:v>
      </x:c>
      <x:c r="U157" s="21" t="str">
        <x:v>[["1100663", 380], ["1924868", 198], ["1415726", 183], ["1174610", 150], ["1667919", 139], ["1424958", 138], ["1432353", 121], ["1592900", 115], ["1976322", 111], ["1771146", 97]]</x:v>
      </x:c>
    </x:row>
    <x:row r="158">
      <x:c r="A158" s="21" t="str">
        <x:v>PREF02N001</x:v>
      </x:c>
      <x:c r="B158" s="21" t="str">
        <x:v>ru_mkt_price</x:v>
      </x:c>
      <x:c r="C158" s="21" t="str">
        <x:v>numeric</x:v>
      </x:c>
      <x:c r="D158" s="21" t="str"/>
      <x:c r="E158" s="21" t="str"/>
      <x:c r="F158" s="29" t="str">
        <x:v>5646</x:v>
      </x:c>
      <x:c r="G158" s="29" t="str">
        <x:v>5636</x:v>
      </x:c>
      <x:c r="H158" s="31" t="str">
        <x:v>0.998229</x:v>
      </x:c>
      <x:c r="I158" s="29" t="str">
        <x:v>10</x:v>
      </x:c>
      <x:c r="J158" s="29" t="str">
        <x:v>0</x:v>
      </x:c>
      <x:c r="K158" s="29" t="str">
        <x:v>0</x:v>
      </x:c>
      <x:c r="L158" s="29" t="str">
        <x:v>5636</x:v>
      </x:c>
      <x:c r="M158" s="29" t="str">
        <x:v>0</x:v>
      </x:c>
      <x:c r="N158" s="29" t="str">
        <x:v>0</x:v>
      </x:c>
      <x:c r="O158" s="29" t="str">
        <x:v>5101</x:v>
      </x:c>
      <x:c r="P158" s="29" t="str">
        <x:v>0.28420000</x:v>
      </x:c>
      <x:c r="Q158" s="29" t="str">
        <x:v>120350.00000000</x:v>
      </x:c>
      <x:c r="R158" s="21" t="str"/>
      <x:c r="S158" s="21" t="str"/>
      <x:c r="T158" s="21" t="str">
        <x:v>["65.88540000", "33.47900000", "72.05000000"]</x:v>
      </x:c>
      <x:c r="U158" s="21" t="str">
        <x:v>[["25.05000000", 6], ["50.84000000", 4], ["24.99000000", 3], ["28.70000000", 3], ["59.55000000", 3], ["32.99000000", 3], ["30.85000000", 3], ["50.56000000", 3], ["21.50000000", 2], ["38.63000000", 2]]</x:v>
      </x:c>
    </x:row>
    <x:row r="159">
      <x:c r="A159" s="21" t="str">
        <x:v>PREF02N001</x:v>
      </x:c>
      <x:c r="B159" s="21" t="str">
        <x:v>ru_mkt_volume</x:v>
      </x:c>
      <x:c r="C159" s="21" t="str">
        <x:v>numeric</x:v>
      </x:c>
      <x:c r="D159" s="21" t="str"/>
      <x:c r="E159" s="21" t="str"/>
      <x:c r="F159" s="29" t="str">
        <x:v>5646</x:v>
      </x:c>
      <x:c r="G159" s="29" t="str">
        <x:v>5636</x:v>
      </x:c>
      <x:c r="H159" s="31" t="str">
        <x:v>0.998229</x:v>
      </x:c>
      <x:c r="I159" s="29" t="str">
        <x:v>10</x:v>
      </x:c>
      <x:c r="J159" s="29" t="str">
        <x:v>0</x:v>
      </x:c>
      <x:c r="K159" s="29" t="str">
        <x:v>0</x:v>
      </x:c>
      <x:c r="L159" s="29" t="str">
        <x:v>5636</x:v>
      </x:c>
      <x:c r="M159" s="29" t="str">
        <x:v>187</x:v>
      </x:c>
      <x:c r="N159" s="29" t="str">
        <x:v>0</x:v>
      </x:c>
      <x:c r="O159" s="29" t="str">
        <x:v>4852</x:v>
      </x:c>
      <x:c r="P159" s="29" t="str">
        <x:v>0E-8</x:v>
      </x:c>
      <x:c r="Q159" s="29" t="str">
        <x:v>457196285.00000000</x:v>
      </x:c>
      <x:c r="R159" s="21" t="str"/>
      <x:c r="S159" s="21" t="str"/>
      <x:c r="T159" s="21" t="str">
        <x:v>["5445.00000000", "5626.00000000", "460569.00000000"]</x:v>
      </x:c>
      <x:c r="U159" s="21" t="str">
        <x:v>[["0E-8", 187], ["10.00000000", 6], ["200.00000000", 4], ["366.00000000", 3], ["369.00000000", 3], ["567.00000000", 3], ["305.00000000", 3], ["739.00000000", 3], ["3276.00000000", 2], ["584.00000000", 2]]</x:v>
      </x:c>
    </x:row>
    <x:row r="160">
      <x:c r="A160" s="21" t="str">
        <x:v>PREF02N001</x:v>
      </x:c>
      <x:c r="B160" s="21" t="str">
        <x:v>wu_core_yn</x:v>
      </x:c>
      <x:c r="C160" s="21" t="str">
        <x:v>text</x:v>
      </x:c>
      <x:c r="D160" s="21" t="str"/>
      <x:c r="E160" s="21" t="str"/>
      <x:c r="F160" s="29" t="str">
        <x:v>5646</x:v>
      </x:c>
      <x:c r="G160" s="29" t="str">
        <x:v>103</x:v>
      </x:c>
      <x:c r="H160" s="31" t="str">
        <x:v>0.018243</x:v>
      </x:c>
      <x:c r="I160" s="29" t="str">
        <x:v>5543</x:v>
      </x:c>
      <x:c r="J160" s="29" t="str">
        <x:v>0</x:v>
      </x:c>
      <x:c r="K160" s="29" t="str">
        <x:v>0</x:v>
      </x:c>
      <x:c r="L160" s="29" t="str">
        <x:v>0</x:v>
      </x:c>
      <x:c r="M160" s="29" t="str">
        <x:v>0</x:v>
      </x:c>
      <x:c r="N160" s="29" t="str">
        <x:v>0</x:v>
      </x:c>
      <x:c r="O160" s="29" t="str">
        <x:v>1</x:v>
      </x:c>
      <x:c r="P160" s="29" t="str"/>
      <x:c r="Q160" s="29" t="str"/>
      <x:c r="R160" s="21" t="str"/>
      <x:c r="S160" s="21" t="str"/>
      <x:c r="T160" s="21" t="str">
        <x:v>["N"]</x:v>
      </x:c>
      <x:c r="U160" s="21" t="str">
        <x:v>[["N", 103]]</x:v>
      </x:c>
    </x:row>
    <x:row r="161">
      <x:c r="A161" s="21" t="str">
        <x:v>PREF02N001</x:v>
      </x:c>
      <x:c r="B161" s="21" t="str">
        <x:v>wu_inv_ast_type</x:v>
      </x:c>
      <x:c r="C161" s="21" t="str">
        <x:v>text</x:v>
      </x:c>
      <x:c r="D161" s="21" t="str"/>
      <x:c r="E161" s="21" t="str"/>
      <x:c r="F161" s="29" t="str">
        <x:v>5646</x:v>
      </x:c>
      <x:c r="G161" s="29" t="str">
        <x:v>5638</x:v>
      </x:c>
      <x:c r="H161" s="31" t="str">
        <x:v>0.998583</x:v>
      </x:c>
      <x:c r="I161" s="29" t="str">
        <x:v>8</x:v>
      </x:c>
      <x:c r="J161" s="29" t="str">
        <x:v>0</x:v>
      </x:c>
      <x:c r="K161" s="29" t="str">
        <x:v>0</x:v>
      </x:c>
      <x:c r="L161" s="29" t="str">
        <x:v>0</x:v>
      </x:c>
      <x:c r="M161" s="29" t="str">
        <x:v>0</x:v>
      </x:c>
      <x:c r="N161" s="29" t="str">
        <x:v>0</x:v>
      </x:c>
      <x:c r="O161" s="29" t="str">
        <x:v>6</x:v>
      </x:c>
      <x:c r="P161" s="29" t="str"/>
      <x:c r="Q161" s="29" t="str"/>
      <x:c r="R161" s="21" t="str"/>
      <x:c r="S161" s="21" t="str"/>
      <x:c r="T161" s="21" t="str">
        <x:v>["Equity", "Bond", "Mixed Assets"]</x:v>
      </x:c>
      <x:c r="U161" s="21" t="str">
        <x:v>[["Equity", 2500], ["Alternatives", 1800], ["Bond", 1084], ["Mixed Assets", 138], ["Commodity", 107], ["Money Market", 9]]</x:v>
      </x:c>
    </x:row>
    <x:row r="162">
      <x:c r="A162" s="21" t="str">
        <x:v>PREF02N001</x:v>
      </x:c>
      <x:c r="B162" s="21" t="str">
        <x:v>wu_inv_rgn</x:v>
      </x:c>
      <x:c r="C162" s="21" t="str">
        <x:v>text</x:v>
      </x:c>
      <x:c r="D162" s="21" t="str"/>
      <x:c r="E162" s="21" t="str"/>
      <x:c r="F162" s="29" t="str">
        <x:v>5646</x:v>
      </x:c>
      <x:c r="G162" s="29" t="str">
        <x:v>5638</x:v>
      </x:c>
      <x:c r="H162" s="31" t="str">
        <x:v>0.998583</x:v>
      </x:c>
      <x:c r="I162" s="29" t="str">
        <x:v>8</x:v>
      </x:c>
      <x:c r="J162" s="29" t="str">
        <x:v>0</x:v>
      </x:c>
      <x:c r="K162" s="29" t="str">
        <x:v>0</x:v>
      </x:c>
      <x:c r="L162" s="29" t="str">
        <x:v>0</x:v>
      </x:c>
      <x:c r="M162" s="29" t="str">
        <x:v>0</x:v>
      </x:c>
      <x:c r="N162" s="29" t="str">
        <x:v>0</x:v>
      </x:c>
      <x:c r="O162" s="29" t="str">
        <x:v>59</x:v>
      </x:c>
      <x:c r="P162" s="29" t="str"/>
      <x:c r="Q162" s="29" t="str"/>
      <x:c r="R162" s="21" t="str"/>
      <x:c r="S162" s="21" t="str"/>
      <x:c r="T162" s="21" t="str">
        <x:v>["United States of America", "Global", "Global Emerging Markets"]</x:v>
      </x:c>
      <x:c r="U162" s="21" t="str">
        <x:v>[["United States of America", 4196], ["Global", 718], ["Global Ex US", 303], ["Global Emerging Markets", 175], ["China", 46], ["Europe", 41], ["Japan", 25], ["India", 24], ["Brazil", 9], ["Asia Pacific ex Japan", 8]]</x:v>
      </x:c>
    </x:row>
    <x:row r="163">
      <x:c r="A163" s="21" t="str">
        <x:v>PREF02N001</x:v>
      </x:c>
      <x:c r="B163" s="21" t="str">
        <x:v>wu_upt_dt</x:v>
      </x:c>
      <x:c r="C163" s="21" t="str">
        <x:v>text</x:v>
      </x:c>
      <x:c r="D163" s="21" t="str"/>
      <x:c r="E163" s="21" t="str"/>
      <x:c r="F163" s="29" t="str">
        <x:v>5646</x:v>
      </x:c>
      <x:c r="G163" s="29" t="str">
        <x:v>5646</x:v>
      </x:c>
      <x:c r="H163" s="31" t="str">
        <x:v>1.0</x:v>
      </x:c>
      <x:c r="I163" s="29" t="str">
        <x:v>0</x:v>
      </x:c>
      <x:c r="J163" s="29" t="str">
        <x:v>0</x:v>
      </x:c>
      <x:c r="K163" s="29" t="str">
        <x:v>0</x:v>
      </x:c>
      <x:c r="L163" s="29" t="str">
        <x:v>5646</x:v>
      </x:c>
      <x:c r="M163" s="29" t="str">
        <x:v>0</x:v>
      </x:c>
      <x:c r="N163" s="29" t="str">
        <x:v>0</x:v>
      </x:c>
      <x:c r="O163" s="29" t="str">
        <x:v>1</x:v>
      </x:c>
      <x:c r="P163" s="29" t="str">
        <x:v>20260614</x:v>
      </x:c>
      <x:c r="Q163" s="29" t="str">
        <x:v>20260614</x:v>
      </x:c>
      <x:c r="R163" s="21" t="str">
        <x:v>20260614</x:v>
      </x:c>
      <x:c r="S163" s="21" t="str">
        <x:v>20260614</x:v>
      </x:c>
      <x:c r="T163" s="21" t="str">
        <x:v>["20260614"]</x:v>
      </x:c>
      <x:c r="U163" s="21" t="str">
        <x:v>[["20260614", 5646]]</x:v>
      </x:c>
    </x:row>
    <x:row r="164">
      <x:c r="A164" s="21" t="str">
        <x:v>PRFD01N001</x:v>
      </x:c>
      <x:c r="B164" s="21" t="str">
        <x:v>bmrk_eng_nm</x:v>
      </x:c>
      <x:c r="C164" s="21" t="str">
        <x:v>text</x:v>
      </x:c>
      <x:c r="D164" s="21" t="str">
        <x:v>벤치마크영문명</x:v>
      </x:c>
      <x:c r="E164" s="21" t="str">
        <x:v>CALL</x:v>
      </x:c>
      <x:c r="F164" s="29" t="str">
        <x:v>95619</x:v>
      </x:c>
      <x:c r="G164" s="29" t="str">
        <x:v>95619</x:v>
      </x:c>
      <x:c r="H164" s="31" t="str">
        <x:v>1.0</x:v>
      </x:c>
      <x:c r="I164" s="29" t="str">
        <x:v>0</x:v>
      </x:c>
      <x:c r="J164" s="29" t="str">
        <x:v>0</x:v>
      </x:c>
      <x:c r="K164" s="29" t="str">
        <x:v>0</x:v>
      </x:c>
      <x:c r="L164" s="29" t="str">
        <x:v>1</x:v>
      </x:c>
      <x:c r="M164" s="29" t="str">
        <x:v>0</x:v>
      </x:c>
      <x:c r="N164" s="29" t="str">
        <x:v>0</x:v>
      </x:c>
      <x:c r="O164" s="29" t="str">
        <x:v>388</x:v>
      </x:c>
      <x:c r="P164" s="29" t="str">
        <x:v>31910466590</x:v>
      </x:c>
      <x:c r="Q164" s="29" t="str">
        <x:v>31910466590</x:v>
      </x:c>
      <x:c r="R164" s="21" t="str"/>
      <x:c r="S164" s="21" t="str"/>
      <x:c r="T164" s="21" t="str">
        <x:v>["채권종합 3M~1Y", "MSCI ACWI CR 75% + KIS Bond Index 01Y 25%", "KOSPI200 25% + KAP Bond Index 01Y 75%"]</x:v>
      </x:c>
      <x:c r="U164" s="21" t="str">
        <x:v>[["KOSPI 200", 10655], ["MSCI ACWI CR 50% + KAP Bond Index 01Y 50%", 9196], ["KOSPI200 25% + KAP Bond Index 01Y 75%", 4361], ["MSCI ACWI", 3846], ["MSCI ACWI CR 25% + KAP Bond Index 01Y 75%", 2953], ["KAP Bond Index 02Y 90%", 2521], ["채권종합지수 1~2Y", 2305], ["MSCI CHINA", 1995], ["KOSPI Mid&amp;SmallCap Index", 1950], ["ZEROIN AI Expected Return Index", 1350]]</x:v>
      </x:c>
    </x:row>
    <x:row r="165">
      <x:c r="A165" s="21" t="str">
        <x:v>PRFD01N001</x:v>
      </x:c>
      <x:c r="B165" s="21" t="str">
        <x:v>bmrk_nm</x:v>
      </x:c>
      <x:c r="C165" s="21" t="str">
        <x:v>text</x:v>
      </x:c>
      <x:c r="D165" s="21" t="str">
        <x:v>벤치마크명</x:v>
      </x:c>
      <x:c r="E165" s="21" t="str">
        <x:v>CALL</x:v>
      </x:c>
      <x:c r="F165" s="29" t="str">
        <x:v>95619</x:v>
      </x:c>
      <x:c r="G165" s="29" t="str">
        <x:v>95619</x:v>
      </x:c>
      <x:c r="H165" s="31" t="str">
        <x:v>1.0</x:v>
      </x:c>
      <x:c r="I165" s="29" t="str">
        <x:v>0</x:v>
      </x:c>
      <x:c r="J165" s="29" t="str">
        <x:v>0</x:v>
      </x:c>
      <x:c r="K165" s="29" t="str">
        <x:v>0</x:v>
      </x:c>
      <x:c r="L165" s="29" t="str">
        <x:v>0</x:v>
      </x:c>
      <x:c r="M165" s="29" t="str">
        <x:v>0</x:v>
      </x:c>
      <x:c r="N165" s="29" t="str">
        <x:v>0</x:v>
      </x:c>
      <x:c r="O165" s="29" t="str">
        <x:v>391</x:v>
      </x:c>
      <x:c r="P165" s="29" t="str"/>
      <x:c r="Q165" s="29" t="str"/>
      <x:c r="R165" s="21" t="str"/>
      <x:c r="S165" s="21" t="str"/>
      <x:c r="T165" s="21" t="str">
        <x:v>["종합채권 3개월~1년", "MSCI ACWI CR 75% + KIS채권종합01Y 25%", "KOSPI200 25% + 종합채권01Y 75%"]</x:v>
      </x:c>
      <x:c r="U165" s="21" t="str">
        <x:v>[["KOSPI200", 10655], ["MSCI ACWI CR 50% + 종합채권01Y 50%", 9196], ["KOSPI200 25% + 종합채권01Y 75%", 4361], ["MSCI ACWI", 3846], ["MSCI ACWI CR 25% + 종합채권01Y 75%", 2953], ["종합채권02Y 90%", 2521], ["중소형지수", 1950], ["MSCI CHINA", 1925], ["제로인 대안투자기대수익지수", 1350], ["채권종합지수 1~2년", 1348]]</x:v>
      </x:c>
    </x:row>
    <x:row r="166">
      <x:c r="A166" s="21" t="str">
        <x:v>PRFD01N001</x:v>
      </x:c>
      <x:c r="B166" s="21" t="str">
        <x:v>curr_cd</x:v>
      </x:c>
      <x:c r="C166" s="21" t="str">
        <x:v>text</x:v>
      </x:c>
      <x:c r="D166" s="21" t="str">
        <x:v>통화코드</x:v>
      </x:c>
      <x:c r="E166" s="21" t="str">
        <x:v>KRW</x:v>
      </x:c>
      <x:c r="F166" s="29" t="str">
        <x:v>95619</x:v>
      </x:c>
      <x:c r="G166" s="29" t="str">
        <x:v>95618</x:v>
      </x:c>
      <x:c r="H166" s="31" t="str">
        <x:v>0.99999</x:v>
      </x:c>
      <x:c r="I166" s="29" t="str">
        <x:v>1</x:v>
      </x:c>
      <x:c r="J166" s="29" t="str">
        <x:v>0</x:v>
      </x:c>
      <x:c r="K166" s="29" t="str">
        <x:v>0</x:v>
      </x:c>
      <x:c r="L166" s="29" t="str">
        <x:v>0</x:v>
      </x:c>
      <x:c r="M166" s="29" t="str">
        <x:v>0</x:v>
      </x:c>
      <x:c r="N166" s="29" t="str">
        <x:v>0</x:v>
      </x:c>
      <x:c r="O166" s="29" t="str">
        <x:v>2</x:v>
      </x:c>
      <x:c r="P166" s="29" t="str"/>
      <x:c r="Q166" s="29" t="str"/>
      <x:c r="R166" s="21" t="str"/>
      <x:c r="S166" s="21" t="str"/>
      <x:c r="T166" s="21" t="str">
        <x:v>["KRW", "USD"]</x:v>
      </x:c>
      <x:c r="U166" s="21" t="str">
        <x:v>[["KRW", 95046], ["USD", 572]]</x:v>
      </x:c>
    </x:row>
    <x:row r="167">
      <x:c r="A167" s="21" t="str">
        <x:v>PRFD01N001</x:v>
      </x:c>
      <x:c r="B167" s="21" t="str">
        <x:v>exchdg_yn</x:v>
      </x:c>
      <x:c r="C167" s="21" t="str">
        <x:v>text</x:v>
      </x:c>
      <x:c r="D167" s="21" t="str">
        <x:v>환헤지여부</x:v>
      </x:c>
      <x:c r="E167" s="21" t="str">
        <x:v>N</x:v>
      </x:c>
      <x:c r="F167" s="29" t="str">
        <x:v>95619</x:v>
      </x:c>
      <x:c r="G167" s="29" t="str">
        <x:v>65858</x:v>
      </x:c>
      <x:c r="H167" s="31" t="str">
        <x:v>0.688754</x:v>
      </x:c>
      <x:c r="I167" s="29" t="str">
        <x:v>29761</x:v>
      </x:c>
      <x:c r="J167" s="29" t="str">
        <x:v>0</x:v>
      </x:c>
      <x:c r="K167" s="29" t="str">
        <x:v>0</x:v>
      </x:c>
      <x:c r="L167" s="29" t="str">
        <x:v>1</x:v>
      </x:c>
      <x:c r="M167" s="29" t="str">
        <x:v>0</x:v>
      </x:c>
      <x:c r="N167" s="29" t="str">
        <x:v>0</x:v>
      </x:c>
      <x:c r="O167" s="29" t="str">
        <x:v>3</x:v>
      </x:c>
      <x:c r="P167" s="29" t="str">
        <x:v>80008</x:v>
      </x:c>
      <x:c r="Q167" s="29" t="str">
        <x:v>80008</x:v>
      </x:c>
      <x:c r="R167" s="21" t="str"/>
      <x:c r="S167" s="21" t="str"/>
      <x:c r="T167" s="21" t="str">
        <x:v>["Y", "N", "00080008"]</x:v>
      </x:c>
      <x:c r="U167" s="21" t="str">
        <x:v>[["Y", 44987], ["N", 20870], ["00080008", 1]]</x:v>
      </x:c>
    </x:row>
    <x:row r="168">
      <x:c r="A168" s="21" t="str">
        <x:v>PRFD01N001</x:v>
      </x:c>
      <x:c r="B168" s="21" t="str">
        <x:v>fd_estb_ctry_cd</x:v>
      </x:c>
      <x:c r="C168" s="21" t="str">
        <x:v>text</x:v>
      </x:c>
      <x:c r="D168" s="21" t="str">
        <x:v>펀드설립국가코드</x:v>
      </x:c>
      <x:c r="E168" s="21" t="str">
        <x:v>000</x:v>
      </x:c>
      <x:c r="F168" s="29" t="str">
        <x:v>95619</x:v>
      </x:c>
      <x:c r="G168" s="29" t="str">
        <x:v>95553</x:v>
      </x:c>
      <x:c r="H168" s="31" t="str">
        <x:v>0.99931</x:v>
      </x:c>
      <x:c r="I168" s="29" t="str">
        <x:v>66</x:v>
      </x:c>
      <x:c r="J168" s="29" t="str">
        <x:v>0</x:v>
      </x:c>
      <x:c r="K168" s="29" t="str">
        <x:v>0</x:v>
      </x:c>
      <x:c r="L168" s="29" t="str">
        <x:v>95553</x:v>
      </x:c>
      <x:c r="M168" s="29" t="str">
        <x:v>92838</x:v>
      </x:c>
      <x:c r="N168" s="29" t="str">
        <x:v>0</x:v>
      </x:c>
      <x:c r="O168" s="29" t="str">
        <x:v>2</x:v>
      </x:c>
      <x:c r="P168" s="29" t="str">
        <x:v>0</x:v>
      </x:c>
      <x:c r="Q168" s="29" t="str">
        <x:v>410</x:v>
      </x:c>
      <x:c r="R168" s="21" t="str"/>
      <x:c r="S168" s="21" t="str"/>
      <x:c r="T168" s="21" t="str">
        <x:v>["000", "410"]</x:v>
      </x:c>
      <x:c r="U168" s="21" t="str">
        <x:v>[["000", 92838], ["410", 2715]]</x:v>
      </x:c>
    </x:row>
    <x:row r="169">
      <x:c r="A169" s="21" t="str">
        <x:v>PRFD01N001</x:v>
      </x:c>
      <x:c r="B169" s="21" t="str">
        <x:v>fd_ivst_rgn_desc</x:v>
      </x:c>
      <x:c r="C169" s="21" t="str">
        <x:v>text</x:v>
      </x:c>
      <x:c r="D169" s="21" t="str">
        <x:v>펀드투자지역구분코드 설명</x:v>
      </x:c>
      <x:c r="E169" s="21" t="str">
        <x:v>국내</x:v>
      </x:c>
      <x:c r="F169" s="29" t="str">
        <x:v>95619</x:v>
      </x:c>
      <x:c r="G169" s="29" t="str">
        <x:v>95553</x:v>
      </x:c>
      <x:c r="H169" s="31" t="str">
        <x:v>0.99931</x:v>
      </x:c>
      <x:c r="I169" s="29" t="str">
        <x:v>66</x:v>
      </x:c>
      <x:c r="J169" s="29" t="str">
        <x:v>0</x:v>
      </x:c>
      <x:c r="K169" s="29" t="str">
        <x:v>0</x:v>
      </x:c>
      <x:c r="L169" s="29" t="str">
        <x:v>0</x:v>
      </x:c>
      <x:c r="M169" s="29" t="str">
        <x:v>0</x:v>
      </x:c>
      <x:c r="N169" s="29" t="str">
        <x:v>0</x:v>
      </x:c>
      <x:c r="O169" s="29" t="str">
        <x:v>7</x:v>
      </x:c>
      <x:c r="P169" s="29" t="str"/>
      <x:c r="Q169" s="29" t="str"/>
      <x:c r="R169" s="21" t="str"/>
      <x:c r="S169" s="21" t="str"/>
      <x:c r="T169" s="21" t="str">
        <x:v>["국내", "글로벌", "아시아"]</x:v>
      </x:c>
      <x:c r="U169" s="21" t="str">
        <x:v>[["글로벌", 42875], ["국내", 33223], ["아시아", 10265], ["남미/북미", 4984], ["이머징/브릭스", 2261], ["유럽", 1846], ["중동/아프리카", 99]]</x:v>
      </x:c>
    </x:row>
    <x:row r="170">
      <x:c r="A170" s="21" t="str">
        <x:v>PRFD01N001</x:v>
      </x:c>
      <x:c r="B170" s="21" t="str">
        <x:v>fd_mm18_ern_r</x:v>
      </x:c>
      <x:c r="C170" s="21" t="str">
        <x:v>numeric</x:v>
      </x:c>
      <x:c r="D170" s="21" t="str">
        <x:v>펀드 18개월수익률</x:v>
      </x:c>
      <x:c r="E170" s="21" t="str">
        <x:v>4.85</x:v>
      </x:c>
      <x:c r="F170" s="29" t="str">
        <x:v>95619</x:v>
      </x:c>
      <x:c r="G170" s="29" t="str">
        <x:v>63208</x:v>
      </x:c>
      <x:c r="H170" s="31" t="str">
        <x:v>0.66104</x:v>
      </x:c>
      <x:c r="I170" s="29" t="str">
        <x:v>32411</x:v>
      </x:c>
      <x:c r="J170" s="29" t="str">
        <x:v>0</x:v>
      </x:c>
      <x:c r="K170" s="29" t="str">
        <x:v>0</x:v>
      </x:c>
      <x:c r="L170" s="29" t="str">
        <x:v>63208</x:v>
      </x:c>
      <x:c r="M170" s="29" t="str">
        <x:v>1686</x:v>
      </x:c>
      <x:c r="N170" s="29" t="str">
        <x:v>4162</x:v>
      </x:c>
      <x:c r="O170" s="29" t="str">
        <x:v>4909</x:v>
      </x:c>
      <x:c r="P170" s="29" t="str">
        <x:v>-3593.02</x:v>
      </x:c>
      <x:c r="Q170" s="29" t="str">
        <x:v>1399.77</x:v>
      </x:c>
      <x:c r="R170" s="21" t="str"/>
      <x:c r="S170" s="21" t="str"/>
      <x:c r="T170" s="21" t="str">
        <x:v>["47.08", "28.54", "2.54"]</x:v>
      </x:c>
      <x:c r="U170" s="21" t="str">
        <x:v>[["0.00", 1686], ["4.14", 74], ["4.05", 69], ["17.69", 51], ["28.30", 45], ["23.86", 44], ["21.16", 40], ["6.00", 39], ["16.52", 38], ["29.06", 37]]</x:v>
      </x:c>
    </x:row>
    <x:row r="171">
      <x:c r="A171" s="21" t="str">
        <x:v>PRFD01N001</x:v>
      </x:c>
      <x:c r="B171" s="21" t="str">
        <x:v>fd_mm1_ern_r</x:v>
      </x:c>
      <x:c r="C171" s="21" t="str">
        <x:v>numeric</x:v>
      </x:c>
      <x:c r="D171" s="21" t="str">
        <x:v>펀드 1개월수익률</x:v>
      </x:c>
      <x:c r="E171" s="21" t="str">
        <x:v>0.26</x:v>
      </x:c>
      <x:c r="F171" s="29" t="str">
        <x:v>95619</x:v>
      </x:c>
      <x:c r="G171" s="29" t="str">
        <x:v>69190</x:v>
      </x:c>
      <x:c r="H171" s="31" t="str">
        <x:v>0.723601</x:v>
      </x:c>
      <x:c r="I171" s="29" t="str">
        <x:v>26429</x:v>
      </x:c>
      <x:c r="J171" s="29" t="str">
        <x:v>0</x:v>
      </x:c>
      <x:c r="K171" s="29" t="str">
        <x:v>0</x:v>
      </x:c>
      <x:c r="L171" s="29" t="str">
        <x:v>69190</x:v>
      </x:c>
      <x:c r="M171" s="29" t="str">
        <x:v>2798</x:v>
      </x:c>
      <x:c r="N171" s="29" t="str">
        <x:v>26288</x:v>
      </x:c>
      <x:c r="O171" s="29" t="str">
        <x:v>1550</x:v>
      </x:c>
      <x:c r="P171" s="29" t="str">
        <x:v>-63.11</x:v>
      </x:c>
      <x:c r="Q171" s="29" t="str">
        <x:v>15.65</x:v>
      </x:c>
      <x:c r="R171" s="21" t="str"/>
      <x:c r="S171" s="21" t="str"/>
      <x:c r="T171" s="21" t="str">
        <x:v>["1.18", "1.16", "1.86"]</x:v>
      </x:c>
      <x:c r="U171" s="21" t="str">
        <x:v>[["0.00", 2798], ["0.23", 531], ["0.21", 511], ["0.20", 477], ["0.16", 353], ["0.22", 316], ["0.33", 314], ["0.30", 306], ["0.19", 299], ["0.14", 294]]</x:v>
      </x:c>
    </x:row>
    <x:row r="172">
      <x:c r="A172" s="21" t="str">
        <x:v>PRFD01N001</x:v>
      </x:c>
      <x:c r="B172" s="21" t="str">
        <x:v>fd_mm3_ern_r</x:v>
      </x:c>
      <x:c r="C172" s="21" t="str">
        <x:v>numeric</x:v>
      </x:c>
      <x:c r="D172" s="21" t="str">
        <x:v>펀드 3개월수익률</x:v>
      </x:c>
      <x:c r="E172" s="21" t="str">
        <x:v>0.78</x:v>
      </x:c>
      <x:c r="F172" s="29" t="str">
        <x:v>95619</x:v>
      </x:c>
      <x:c r="G172" s="29" t="str">
        <x:v>68543</x:v>
      </x:c>
      <x:c r="H172" s="31" t="str">
        <x:v>0.716835</x:v>
      </x:c>
      <x:c r="I172" s="29" t="str">
        <x:v>27076</x:v>
      </x:c>
      <x:c r="J172" s="29" t="str">
        <x:v>0</x:v>
      </x:c>
      <x:c r="K172" s="29" t="str">
        <x:v>0</x:v>
      </x:c>
      <x:c r="L172" s="29" t="str">
        <x:v>68543</x:v>
      </x:c>
      <x:c r="M172" s="29" t="str">
        <x:v>2427</x:v>
      </x:c>
      <x:c r="N172" s="29" t="str">
        <x:v>9590</x:v>
      </x:c>
      <x:c r="O172" s="29" t="str">
        <x:v>3505</x:v>
      </x:c>
      <x:c r="P172" s="29" t="str">
        <x:v>-88.46</x:v>
      </x:c>
      <x:c r="Q172" s="29" t="str">
        <x:v>144.21</x:v>
      </x:c>
      <x:c r="R172" s="21" t="str"/>
      <x:c r="S172" s="21" t="str"/>
      <x:c r="T172" s="21" t="str">
        <x:v>["16.29", "12.78", "-16.82"]</x:v>
      </x:c>
      <x:c r="U172" s="21" t="str">
        <x:v>[["0.00", 2427], ["0.67", 249], ["0.58", 183], ["0.72", 132], ["0.59", 131], ["0.84", 115], ["0.68", 106], ["1.15", 105], ["0.66", 97], ["0.71", 96]]</x:v>
      </x:c>
    </x:row>
    <x:row r="173">
      <x:c r="A173" s="21" t="str">
        <x:v>PRFD01N001</x:v>
      </x:c>
      <x:c r="B173" s="21" t="str">
        <x:v>fd_mm6_ern_r</x:v>
      </x:c>
      <x:c r="C173" s="21" t="str">
        <x:v>numeric</x:v>
      </x:c>
      <x:c r="D173" s="21" t="str">
        <x:v>펀드 6개월수익률</x:v>
      </x:c>
      <x:c r="E173" s="21" t="str">
        <x:v>1.46</x:v>
      </x:c>
      <x:c r="F173" s="29" t="str">
        <x:v>95619</x:v>
      </x:c>
      <x:c r="G173" s="29" t="str">
        <x:v>67169</x:v>
      </x:c>
      <x:c r="H173" s="31" t="str">
        <x:v>0.702465</x:v>
      </x:c>
      <x:c r="I173" s="29" t="str">
        <x:v>28450</x:v>
      </x:c>
      <x:c r="J173" s="29" t="str">
        <x:v>0</x:v>
      </x:c>
      <x:c r="K173" s="29" t="str">
        <x:v>0</x:v>
      </x:c>
      <x:c r="L173" s="29" t="str">
        <x:v>67169</x:v>
      </x:c>
      <x:c r="M173" s="29" t="str">
        <x:v>2034</x:v>
      </x:c>
      <x:c r="N173" s="29" t="str">
        <x:v>8666</x:v>
      </x:c>
      <x:c r="O173" s="29" t="str">
        <x:v>4177</x:v>
      </x:c>
      <x:c r="P173" s="29" t="str">
        <x:v>-84.16</x:v>
      </x:c>
      <x:c r="Q173" s="29" t="str">
        <x:v>369.68</x:v>
      </x:c>
      <x:c r="R173" s="21" t="str"/>
      <x:c r="S173" s="21" t="str"/>
      <x:c r="T173" s="21" t="str">
        <x:v>["25.97", "11.72", "-23.75"]</x:v>
      </x:c>
      <x:c r="U173" s="21" t="str">
        <x:v>[["0.00", 2034], ["1.20", 139], ["1.32", 105], ["1.27", 105], ["1.53", 89], ["1.11", 86], ["3.99", 85], ["0.87", 77], ["1.31", 77], ["1.38", 73]]</x:v>
      </x:c>
    </x:row>
    <x:row r="174">
      <x:c r="A174" s="21" t="str">
        <x:v>PRFD01N001</x:v>
      </x:c>
      <x:c r="B174" s="21" t="str">
        <x:v>fd_nast_suma</x:v>
      </x:c>
      <x:c r="C174" s="21" t="str">
        <x:v>numeric</x:v>
      </x:c>
      <x:c r="D174" s="21" t="str">
        <x:v>펀드 순자산</x:v>
      </x:c>
      <x:c r="E174" s="21" t="str">
        <x:v>2390679722503.0000</x:v>
      </x:c>
      <x:c r="F174" s="29" t="str">
        <x:v>95619</x:v>
      </x:c>
      <x:c r="G174" s="29" t="str">
        <x:v>83081</x:v>
      </x:c>
      <x:c r="H174" s="31" t="str">
        <x:v>0.868875</x:v>
      </x:c>
      <x:c r="I174" s="29" t="str">
        <x:v>12538</x:v>
      </x:c>
      <x:c r="J174" s="29" t="str">
        <x:v>0</x:v>
      </x:c>
      <x:c r="K174" s="29" t="str">
        <x:v>0</x:v>
      </x:c>
      <x:c r="L174" s="29" t="str">
        <x:v>83081</x:v>
      </x:c>
      <x:c r="M174" s="29" t="str">
        <x:v>2478</x:v>
      </x:c>
      <x:c r="N174" s="29" t="str">
        <x:v>0</x:v>
      </x:c>
      <x:c r="O174" s="29" t="str">
        <x:v>2682</x:v>
      </x:c>
      <x:c r="P174" s="29" t="str">
        <x:v>0.0000</x:v>
      </x:c>
      <x:c r="Q174" s="29" t="str">
        <x:v>28359162282520.0000</x:v>
      </x:c>
      <x:c r="R174" s="21" t="str"/>
      <x:c r="S174" s="21" t="str"/>
      <x:c r="T174" s="21" t="str">
        <x:v>["77291400582.0000", "71147860091.0000", "600482482202.0000"]</x:v>
      </x:c>
      <x:c r="U174" s="21" t="str">
        <x:v>[["0.0000", 2478], ["1246002051481.0000", 164], ["203933002230.0000", 153], ["62415226868.0000", 151], ["107641694999.0000", 143], ["43744413817.0000", 130], ["18396857471.0000", 130], ["188819770644.0000", 127], ["5561831372.0000", 127], ["88424720212.0000", 122]]</x:v>
      </x:c>
    </x:row>
    <x:row r="175">
      <x:c r="A175" s="21" t="str">
        <x:v>PRFD01N001</x:v>
      </x:c>
      <x:c r="B175" s="21" t="str">
        <x:v>fd_set_pcd</x:v>
      </x:c>
      <x:c r="C175" s="21" t="str">
        <x:v>text</x:v>
      </x:c>
      <x:c r="D175" s="21" t="str">
        <x:v>펀드설정유형코드</x:v>
      </x:c>
      <x:c r="E175" s="21" t="str">
        <x:v>10</x:v>
      </x:c>
      <x:c r="F175" s="29" t="str">
        <x:v>95619</x:v>
      </x:c>
      <x:c r="G175" s="29" t="str">
        <x:v>95618</x:v>
      </x:c>
      <x:c r="H175" s="31" t="str">
        <x:v>0.99999</x:v>
      </x:c>
      <x:c r="I175" s="29" t="str">
        <x:v>1</x:v>
      </x:c>
      <x:c r="J175" s="29" t="str">
        <x:v>0</x:v>
      </x:c>
      <x:c r="K175" s="29" t="str">
        <x:v>0</x:v>
      </x:c>
      <x:c r="L175" s="29" t="str">
        <x:v>95618</x:v>
      </x:c>
      <x:c r="M175" s="29" t="str">
        <x:v>458</x:v>
      </x:c>
      <x:c r="N175" s="29" t="str">
        <x:v>0</x:v>
      </x:c>
      <x:c r="O175" s="29" t="str">
        <x:v>3</x:v>
      </x:c>
      <x:c r="P175" s="29" t="str">
        <x:v>0</x:v>
      </x:c>
      <x:c r="Q175" s="29" t="str">
        <x:v>20</x:v>
      </x:c>
      <x:c r="R175" s="21" t="str"/>
      <x:c r="S175" s="21" t="str"/>
      <x:c r="T175" s="21" t="str">
        <x:v>["20", "10", "00"]</x:v>
      </x:c>
      <x:c r="U175" s="21" t="str">
        <x:v>[["10", 91354], ["20", 3806], ["00", 458]]</x:v>
      </x:c>
    </x:row>
    <x:row r="176">
      <x:c r="A176" s="21" t="str">
        <x:v>PRFD01N001</x:v>
      </x:c>
      <x:c r="B176" s="21" t="str">
        <x:v>fd_wk1_ern_r</x:v>
      </x:c>
      <x:c r="C176" s="21" t="str">
        <x:v>numeric</x:v>
      </x:c>
      <x:c r="D176" s="21" t="str">
        <x:v>펀드 1주일수익률</x:v>
      </x:c>
      <x:c r="E176" s="21" t="str">
        <x:v>0.09</x:v>
      </x:c>
      <x:c r="F176" s="29" t="str">
        <x:v>95619</x:v>
      </x:c>
      <x:c r="G176" s="29" t="str">
        <x:v>69452</x:v>
      </x:c>
      <x:c r="H176" s="31" t="str">
        <x:v>0.726341</x:v>
      </x:c>
      <x:c r="I176" s="29" t="str">
        <x:v>26167</x:v>
      </x:c>
      <x:c r="J176" s="29" t="str">
        <x:v>0</x:v>
      </x:c>
      <x:c r="K176" s="29" t="str">
        <x:v>0</x:v>
      </x:c>
      <x:c r="L176" s="29" t="str">
        <x:v>69452</x:v>
      </x:c>
      <x:c r="M176" s="29" t="str">
        <x:v>2664</x:v>
      </x:c>
      <x:c r="N176" s="29" t="str">
        <x:v>22409</x:v>
      </x:c>
      <x:c r="O176" s="29" t="str">
        <x:v>1207</x:v>
      </x:c>
      <x:c r="P176" s="29" t="str">
        <x:v>-60.92</x:v>
      </x:c>
      <x:c r="Q176" s="29" t="str">
        <x:v>26.59</x:v>
      </x:c>
      <x:c r="R176" s="21" t="str"/>
      <x:c r="S176" s="21" t="str"/>
      <x:c r="T176" s="21" t="str">
        <x:v>["2.55", "-0.82", "2.04"]</x:v>
      </x:c>
      <x:c r="U176" s="21" t="str">
        <x:v>[["0.00", 2664], ["0.04", 1378], ["0.05", 662], ["0.06", 426], ["0.15", 409], ["0.30", 342], ["0.34", 309], ["0.51", 305], ["0.03", 301], ["0.47", 280]]</x:v>
      </x:c>
    </x:row>
    <x:row r="177">
      <x:c r="A177" s="21" t="str">
        <x:v>PRFD01N001</x:v>
      </x:c>
      <x:c r="B177" s="21" t="str">
        <x:v>fd_yr1_ern_r</x:v>
      </x:c>
      <x:c r="C177" s="21" t="str">
        <x:v>numeric</x:v>
      </x:c>
      <x:c r="D177" s="21" t="str">
        <x:v>펀드 1년수익률</x:v>
      </x:c>
      <x:c r="E177" s="21" t="str">
        <x:v>2.93</x:v>
      </x:c>
      <x:c r="F177" s="29" t="str">
        <x:v>95619</x:v>
      </x:c>
      <x:c r="G177" s="29" t="str">
        <x:v>64426</x:v>
      </x:c>
      <x:c r="H177" s="31" t="str">
        <x:v>0.673778</x:v>
      </x:c>
      <x:c r="I177" s="29" t="str">
        <x:v>31193</x:v>
      </x:c>
      <x:c r="J177" s="29" t="str">
        <x:v>0</x:v>
      </x:c>
      <x:c r="K177" s="29" t="str">
        <x:v>0</x:v>
      </x:c>
      <x:c r="L177" s="29" t="str">
        <x:v>64426</x:v>
      </x:c>
      <x:c r="M177" s="29" t="str">
        <x:v>1840</x:v>
      </x:c>
      <x:c r="N177" s="29" t="str">
        <x:v>4470</x:v>
      </x:c>
      <x:c r="O177" s="29" t="str">
        <x:v>4826</x:v>
      </x:c>
      <x:c r="P177" s="29" t="str">
        <x:v>-92.57</x:v>
      </x:c>
      <x:c r="Q177" s="29" t="str">
        <x:v>975.10</x:v>
      </x:c>
      <x:c r="R177" s="21" t="str"/>
      <x:c r="S177" s="21" t="str"/>
      <x:c r="T177" s="21" t="str">
        <x:v>["38.17", "33.73", "-22.85"]</x:v>
      </x:c>
      <x:c r="U177" s="21" t="str">
        <x:v>[["0.00", 1840], ["2.61", 77], ["2.64", 68], ["2.76", 60], ["19.74", 58], ["25.02", 54], ["1.78", 53], ["1.43", 42], ["19.43", 42], ["20.75", 41]]</x:v>
      </x:c>
    </x:row>
    <x:row r="178">
      <x:c r="A178" s="21" t="str">
        <x:v>PRFD01N001</x:v>
      </x:c>
      <x:c r="B178" s="21" t="str">
        <x:v>fd_yr2_ern_r</x:v>
      </x:c>
      <x:c r="C178" s="21" t="str">
        <x:v>numeric</x:v>
      </x:c>
      <x:c r="D178" s="21" t="str">
        <x:v>펀드 2년수익률</x:v>
      </x:c>
      <x:c r="E178" s="21" t="str">
        <x:v>6.93</x:v>
      </x:c>
      <x:c r="F178" s="29" t="str">
        <x:v>95619</x:v>
      </x:c>
      <x:c r="G178" s="29" t="str">
        <x:v>58129</x:v>
      </x:c>
      <x:c r="H178" s="31" t="str">
        <x:v>0.607923</x:v>
      </x:c>
      <x:c r="I178" s="29" t="str">
        <x:v>37490</x:v>
      </x:c>
      <x:c r="J178" s="29" t="str">
        <x:v>0</x:v>
      </x:c>
      <x:c r="K178" s="29" t="str">
        <x:v>0</x:v>
      </x:c>
      <x:c r="L178" s="29" t="str">
        <x:v>58129</x:v>
      </x:c>
      <x:c r="M178" s="29" t="str">
        <x:v>1486</x:v>
      </x:c>
      <x:c r="N178" s="29" t="str">
        <x:v>3093</x:v>
      </x:c>
      <x:c r="O178" s="29" t="str">
        <x:v>4777</x:v>
      </x:c>
      <x:c r="P178" s="29" t="str">
        <x:v>-3675.44</x:v>
      </x:c>
      <x:c r="Q178" s="29" t="str">
        <x:v>973.95</x:v>
      </x:c>
      <x:c r="R178" s="21" t="str"/>
      <x:c r="S178" s="21" t="str"/>
      <x:c r="T178" s="21" t="str">
        <x:v>["43.25", "48.23", "0.15"]</x:v>
      </x:c>
      <x:c r="U178" s="21" t="str">
        <x:v>[["0.00", 1486], ["6.60", 52], ["30.10", 51], ["5.73", 46], ["34.79", 45], ["19.08", 39], ["41.39", 37], ["10.90", 36], ["28.49", 35], ["21.07", 34]]</x:v>
      </x:c>
    </x:row>
    <x:row r="179">
      <x:c r="A179" s="21" t="str">
        <x:v>PRFD01N001</x:v>
      </x:c>
      <x:c r="B179" s="21" t="str">
        <x:v>fd_yr3_ern_r</x:v>
      </x:c>
      <x:c r="C179" s="21" t="str">
        <x:v>numeric</x:v>
      </x:c>
      <x:c r="D179" s="21" t="str">
        <x:v>펀드 3년수익률</x:v>
      </x:c>
      <x:c r="E179" s="21" t="str">
        <x:v>13.57</x:v>
      </x:c>
      <x:c r="F179" s="29" t="str">
        <x:v>95619</x:v>
      </x:c>
      <x:c r="G179" s="29" t="str">
        <x:v>55813</x:v>
      </x:c>
      <x:c r="H179" s="31" t="str">
        <x:v>0.583702</x:v>
      </x:c>
      <x:c r="I179" s="29" t="str">
        <x:v>39806</x:v>
      </x:c>
      <x:c r="J179" s="29" t="str">
        <x:v>0</x:v>
      </x:c>
      <x:c r="K179" s="29" t="str">
        <x:v>0</x:v>
      </x:c>
      <x:c r="L179" s="29" t="str">
        <x:v>55813</x:v>
      </x:c>
      <x:c r="M179" s="29" t="str">
        <x:v>907</x:v>
      </x:c>
      <x:c r="N179" s="29" t="str">
        <x:v>2621</x:v>
      </x:c>
      <x:c r="O179" s="29" t="str">
        <x:v>4925</x:v>
      </x:c>
      <x:c r="P179" s="29" t="str">
        <x:v>-4381.56</x:v>
      </x:c>
      <x:c r="Q179" s="29" t="str">
        <x:v>1142.57</x:v>
      </x:c>
      <x:c r="R179" s="21" t="str"/>
      <x:c r="S179" s="21" t="str"/>
      <x:c r="T179" s="21" t="str">
        <x:v>["60.31", "95.24", "-5.11"]</x:v>
      </x:c>
      <x:c r="U179" s="21" t="str">
        <x:v>[["0.00", 907], ["37.46", 43], ["21.50", 40], ["34.21", 38], ["10.40", 35], ["33.29", 33], ["22.22", 32], ["26.70", 30], ["9.90", 29], ["35.31", 27]]</x:v>
      </x:c>
    </x:row>
    <x:row r="180">
      <x:c r="A180" s="21" t="str">
        <x:v>PRFD01N001</x:v>
      </x:c>
      <x:c r="B180" s="21" t="str">
        <x:v>fd_yr5_ern_r</x:v>
      </x:c>
      <x:c r="C180" s="21" t="str">
        <x:v>numeric</x:v>
      </x:c>
      <x:c r="D180" s="21" t="str">
        <x:v>펀드 5년수익률</x:v>
      </x:c>
      <x:c r="E180" s="21" t="str">
        <x:v>18.87</x:v>
      </x:c>
      <x:c r="F180" s="29" t="str">
        <x:v>95619</x:v>
      </x:c>
      <x:c r="G180" s="29" t="str">
        <x:v>50837</x:v>
      </x:c>
      <x:c r="H180" s="31" t="str">
        <x:v>0.531662</x:v>
      </x:c>
      <x:c r="I180" s="29" t="str">
        <x:v>44782</x:v>
      </x:c>
      <x:c r="J180" s="29" t="str">
        <x:v>0</x:v>
      </x:c>
      <x:c r="K180" s="29" t="str">
        <x:v>0</x:v>
      </x:c>
      <x:c r="L180" s="29" t="str">
        <x:v>50837</x:v>
      </x:c>
      <x:c r="M180" s="29" t="str">
        <x:v>580</x:v>
      </x:c>
      <x:c r="N180" s="29" t="str">
        <x:v>8764</x:v>
      </x:c>
      <x:c r="O180" s="29" t="str">
        <x:v>4699</x:v>
      </x:c>
      <x:c r="P180" s="29" t="str">
        <x:v>-4254.75</x:v>
      </x:c>
      <x:c r="Q180" s="29" t="str">
        <x:v>611.55</x:v>
      </x:c>
      <x:c r="R180" s="21" t="str"/>
      <x:c r="S180" s="21" t="str"/>
      <x:c r="T180" s="21" t="str">
        <x:v>["49.37", "127.97", "-48.61"]</x:v>
      </x:c>
      <x:c r="U180" s="21" t="str">
        <x:v>[["0.00", 580], ["29.73", 44], ["47.57", 39], ["15.63", 39], ["10.87", 37], ["13.61", 35], ["111.88", 30], ["17.50", 30], ["55.96", 30], ["17.53", 29]]</x:v>
      </x:c>
    </x:row>
    <x:row r="181">
      <x:c r="A181" s="21" t="str">
        <x:v>PRFD01N001</x:v>
      </x:c>
      <x:c r="B181" s="21" t="str">
        <x:v>frc_bpr_itm_yn</x:v>
      </x:c>
      <x:c r="C181" s="21" t="str">
        <x:v>text</x:v>
      </x:c>
      <x:c r="D181" s="21" t="str">
        <x:v>외화기준가종목여부</x:v>
      </x:c>
      <x:c r="E181" s="21" t="str">
        <x:v>0</x:v>
      </x:c>
      <x:c r="F181" s="29" t="str">
        <x:v>95619</x:v>
      </x:c>
      <x:c r="G181" s="29" t="str">
        <x:v>95618</x:v>
      </x:c>
      <x:c r="H181" s="31" t="str">
        <x:v>0.99999</x:v>
      </x:c>
      <x:c r="I181" s="29" t="str">
        <x:v>1</x:v>
      </x:c>
      <x:c r="J181" s="29" t="str">
        <x:v>0</x:v>
      </x:c>
      <x:c r="K181" s="29" t="str">
        <x:v>0</x:v>
      </x:c>
      <x:c r="L181" s="29" t="str">
        <x:v>95618</x:v>
      </x:c>
      <x:c r="M181" s="29" t="str">
        <x:v>95046</x:v>
      </x:c>
      <x:c r="N181" s="29" t="str">
        <x:v>0</x:v>
      </x:c>
      <x:c r="O181" s="29" t="str">
        <x:v>2</x:v>
      </x:c>
      <x:c r="P181" s="29" t="str">
        <x:v>0</x:v>
      </x:c>
      <x:c r="Q181" s="29" t="str">
        <x:v>1</x:v>
      </x:c>
      <x:c r="R181" s="21" t="str"/>
      <x:c r="S181" s="21" t="str"/>
      <x:c r="T181" s="21" t="str">
        <x:v>["0", "1"]</x:v>
      </x:c>
      <x:c r="U181" s="21" t="str">
        <x:v>[["0", 95046], ["1", 572]]</x:v>
      </x:c>
    </x:row>
    <x:row r="182">
      <x:c r="A182" s="21" t="str">
        <x:v>PRFD01N001</x:v>
      </x:c>
      <x:c r="B182" s="21" t="str">
        <x:v>fss_itm_no</x:v>
      </x:c>
      <x:c r="C182" s="21" t="str">
        <x:v>text</x:v>
      </x:c>
      <x:c r="D182" s="21" t="str">
        <x:v>금융감독원종목번호</x:v>
      </x:c>
      <x:c r="E182" s="21" t="str">
        <x:v>0010173C4558</x:v>
      </x:c>
      <x:c r="F182" s="29" t="str">
        <x:v>95619</x:v>
      </x:c>
      <x:c r="G182" s="29" t="str">
        <x:v>95618</x:v>
      </x:c>
      <x:c r="H182" s="31" t="str">
        <x:v>0.99999</x:v>
      </x:c>
      <x:c r="I182" s="29" t="str">
        <x:v>1</x:v>
      </x:c>
      <x:c r="J182" s="29" t="str">
        <x:v>0</x:v>
      </x:c>
      <x:c r="K182" s="29" t="str">
        <x:v>0</x:v>
      </x:c>
      <x:c r="L182" s="29" t="str">
        <x:v>23450</x:v>
      </x:c>
      <x:c r="M182" s="29" t="str">
        <x:v>23409</x:v>
      </x:c>
      <x:c r="N182" s="29" t="str">
        <x:v>0</x:v>
      </x:c>
      <x:c r="O182" s="29" t="str">
        <x:v>8086</x:v>
      </x:c>
      <x:c r="P182" s="29" t="str">
        <x:v>0</x:v>
      </x:c>
      <x:c r="Q182" s="29" t="str">
        <x:v>111111111111</x:v>
      </x:c>
      <x:c r="R182" s="21" t="str"/>
      <x:c r="S182" s="21" t="str"/>
      <x:c r="T182" s="21" t="str">
        <x:v>["0010173C9824", "000000000000", "0011644C0164"]</x:v>
      </x:c>
      <x:c r="U182" s="21" t="str">
        <x:v>[["000000000000", 23409], ["0010200C0346", 23], ["0010205C4702", 21], ["0010198C3367", 14], ["0010189M0025", 14], ["0010210C6102", 14], ["0010173C7109", 13], ["0011972C7449", 13], ["0011458C0272", 13], ["0010181C1155", 13]]</x:v>
      </x:c>
    </x:row>
    <x:row r="183">
      <x:c r="A183" s="21" t="str">
        <x:v>PRFD01N001</x:v>
      </x:c>
      <x:c r="B183" s="21" t="str">
        <x:v>hdge_fd_yn</x:v>
      </x:c>
      <x:c r="C183" s="21" t="str">
        <x:v>text</x:v>
      </x:c>
      <x:c r="D183" s="21" t="str">
        <x:v>헤지펀드여부</x:v>
      </x:c>
      <x:c r="E183" s="21" t="str">
        <x:v>0</x:v>
      </x:c>
      <x:c r="F183" s="29" t="str">
        <x:v>95619</x:v>
      </x:c>
      <x:c r="G183" s="29" t="str">
        <x:v>95553</x:v>
      </x:c>
      <x:c r="H183" s="31" t="str">
        <x:v>0.99931</x:v>
      </x:c>
      <x:c r="I183" s="29" t="str">
        <x:v>66</x:v>
      </x:c>
      <x:c r="J183" s="29" t="str">
        <x:v>0</x:v>
      </x:c>
      <x:c r="K183" s="29" t="str">
        <x:v>0</x:v>
      </x:c>
      <x:c r="L183" s="29" t="str">
        <x:v>95553</x:v>
      </x:c>
      <x:c r="M183" s="29" t="str">
        <x:v>95553</x:v>
      </x:c>
      <x:c r="N183" s="29" t="str">
        <x:v>0</x:v>
      </x:c>
      <x:c r="O183" s="29" t="str">
        <x:v>1</x:v>
      </x:c>
      <x:c r="P183" s="29" t="str">
        <x:v>0</x:v>
      </x:c>
      <x:c r="Q183" s="29" t="str">
        <x:v>0</x:v>
      </x:c>
      <x:c r="R183" s="21" t="str"/>
      <x:c r="S183" s="21" t="str"/>
      <x:c r="T183" s="21" t="str">
        <x:v>["0"]</x:v>
      </x:c>
      <x:c r="U183" s="21" t="str">
        <x:v>[["0", 95553]]</x:v>
      </x:c>
    </x:row>
    <x:row r="184">
      <x:c r="A184" s="21" t="str">
        <x:v>PRFD01N001</x:v>
      </x:c>
      <x:c r="B184" s="21" t="str">
        <x:v>int_dvd_desc</x:v>
      </x:c>
      <x:c r="C184" s="21" t="str">
        <x:v>text</x:v>
      </x:c>
      <x:c r="D184" s="21" t="str">
        <x:v>이자배당구분코드 설명</x:v>
      </x:c>
      <x:c r="E184" s="21" t="str">
        <x:v>배당</x:v>
      </x:c>
      <x:c r="F184" s="29" t="str">
        <x:v>95619</x:v>
      </x:c>
      <x:c r="G184" s="29" t="str">
        <x:v>95553</x:v>
      </x:c>
      <x:c r="H184" s="31" t="str">
        <x:v>0.99931</x:v>
      </x:c>
      <x:c r="I184" s="29" t="str">
        <x:v>66</x:v>
      </x:c>
      <x:c r="J184" s="29" t="str">
        <x:v>0</x:v>
      </x:c>
      <x:c r="K184" s="29" t="str">
        <x:v>0</x:v>
      </x:c>
      <x:c r="L184" s="29" t="str">
        <x:v>0</x:v>
      </x:c>
      <x:c r="M184" s="29" t="str">
        <x:v>0</x:v>
      </x:c>
      <x:c r="N184" s="29" t="str">
        <x:v>0</x:v>
      </x:c>
      <x:c r="O184" s="29" t="str">
        <x:v>2</x:v>
      </x:c>
      <x:c r="P184" s="29" t="str"/>
      <x:c r="Q184" s="29" t="str"/>
      <x:c r="R184" s="21" t="str"/>
      <x:c r="S184" s="21" t="str"/>
      <x:c r="T184" s="21" t="str">
        <x:v>["배당", "이자"]</x:v>
      </x:c>
      <x:c r="U184" s="21" t="str">
        <x:v>[["배당", 95543], ["이자", 10]]</x:v>
      </x:c>
    </x:row>
    <x:row r="185">
      <x:c r="A185" s="21" t="str">
        <x:v>PRFD01N001</x:v>
      </x:c>
      <x:c r="B185" s="21" t="str">
        <x:v>itm_abrv_nm</x:v>
      </x:c>
      <x:c r="C185" s="21" t="str">
        <x:v>text</x:v>
      </x:c>
      <x:c r="D185" s="21" t="str">
        <x:v>종목약어명</x:v>
      </x:c>
      <x:c r="E185" s="21" t="str">
        <x:v>삼성 베스트 MMF 법인 제1호</x:v>
      </x:c>
      <x:c r="F185" s="29" t="str">
        <x:v>95619</x:v>
      </x:c>
      <x:c r="G185" s="29" t="str">
        <x:v>95619</x:v>
      </x:c>
      <x:c r="H185" s="31" t="str">
        <x:v>1.0</x:v>
      </x:c>
      <x:c r="I185" s="29" t="str">
        <x:v>0</x:v>
      </x:c>
      <x:c r="J185" s="29" t="str">
        <x:v>0</x:v>
      </x:c>
      <x:c r="K185" s="29" t="str">
        <x:v>0</x:v>
      </x:c>
      <x:c r="L185" s="29" t="str">
        <x:v>0</x:v>
      </x:c>
      <x:c r="M185" s="29" t="str">
        <x:v>0</x:v>
      </x:c>
      <x:c r="N185" s="29" t="str">
        <x:v>0</x:v>
      </x:c>
      <x:c r="O185" s="29" t="str">
        <x:v>&gt;10000</x:v>
      </x:c>
      <x:c r="P185" s="29" t="str"/>
      <x:c r="Q185" s="29" t="str"/>
      <x:c r="R185" s="21" t="str"/>
      <x:c r="S185" s="21" t="str"/>
      <x:c r="T185" s="21" t="str">
        <x:v>["삼성1.5년매칭형증권투자제1호[채권]C-P", "알리안츠멀티파재F", "한국밸류10년투자배당투자(채권혼합)AE"]</x:v>
      </x:c>
      <x:c r="U185" s="21" t="str">
        <x:v>[["KB글로벌테크놀로지EMP증권자(주-재)C-Pe", 14], ["한화에너지MLP특별자회사(재간접)Ce", 14], ["다올중국1등주증권자투신(주식)Cpe(연금)", 14], ["삼성미국S&amp;P500인덱스증권자UH[주식]_Cpe(퇴직연금)", 13], ["KCGI프리덤적격TDF2030[채혼재]C-Pe2", 13], ["피델리티차이나컨슈머자(주식재간접)PRS", 13], ["미래에셋클린인프라포커스자(주식)A", 13], ["미래에셋베트남자1호(UH)(주식)CPe", 13], ["한국투자신종개인적격TDF알아서2050H(주혼재)(Ce)", 13], ["한국투자적격TDF알아서2030(주혼재)CRe", 13]]</x:v>
      </x:c>
    </x:row>
    <x:row r="186">
      <x:c r="A186" s="21" t="str">
        <x:v>PRFD01N001</x:v>
      </x:c>
      <x:c r="B186" s="21" t="str">
        <x:v>itm_eabrv_nm</x:v>
      </x:c>
      <x:c r="C186" s="21" t="str">
        <x:v>text</x:v>
      </x:c>
      <x:c r="D186" s="21" t="str">
        <x:v>종목영문약어명</x:v>
      </x:c>
      <x:c r="E186" s="21" t="str">
        <x:v>KB China A-share Sec</x:v>
      </x:c>
      <x:c r="F186" s="29" t="str">
        <x:v>95619</x:v>
      </x:c>
      <x:c r="G186" s="29" t="str">
        <x:v>172</x:v>
      </x:c>
      <x:c r="H186" s="31" t="str">
        <x:v>0.001799</x:v>
      </x:c>
      <x:c r="I186" s="29" t="str">
        <x:v>95447</x:v>
      </x:c>
      <x:c r="J186" s="29" t="str">
        <x:v>0</x:v>
      </x:c>
      <x:c r="K186" s="29" t="str">
        <x:v>0</x:v>
      </x:c>
      <x:c r="L186" s="29" t="str">
        <x:v>0</x:v>
      </x:c>
      <x:c r="M186" s="29" t="str">
        <x:v>0</x:v>
      </x:c>
      <x:c r="N186" s="29" t="str">
        <x:v>0</x:v>
      </x:c>
      <x:c r="O186" s="29" t="str">
        <x:v>14</x:v>
      </x:c>
      <x:c r="P186" s="29" t="str"/>
      <x:c r="Q186" s="29" t="str"/>
      <x:c r="R186" s="21" t="str"/>
      <x:c r="S186" s="21" t="str"/>
      <x:c r="T186" s="21" t="str">
        <x:v>["MIRAE G2INNOVATOR_C1", "MIRAE G2 INNOVATOR F", "DWS DeutschEquity C3"]</x:v>
      </x:c>
      <x:c r="U186" s="21" t="str">
        <x:v>[["KB China A-share Sec", 59], ["MIRAE G2INNOVATOR_Ce", 13], ["MIRAE G2INNOVATOR_C1", 12], ["MIRAE G2 INNOVATOR F", 12], ["MIRAE G2INNOVATOR_C2", 12], ["MIRAE GL-GROWTH F", 10], ["MIRAE GL-GROWTH A", 10], ["DWS DeutschEquity C1", 8], ["DWS DeutschEquity A", 8], ["DWS DeutschEquity C3", 7]]</x:v>
      </x:c>
    </x:row>
    <x:row r="187">
      <x:c r="A187" s="21" t="str">
        <x:v>PRFD01N001</x:v>
      </x:c>
      <x:c r="B187" s="21" t="str">
        <x:v>itm_eng_nm</x:v>
      </x:c>
      <x:c r="C187" s="21" t="str">
        <x:v>text</x:v>
      </x:c>
      <x:c r="D187" s="21" t="str">
        <x:v>종목영문명</x:v>
      </x:c>
      <x:c r="E187" s="21" t="str">
        <x:v>삼성 베스트 MMF 법인 제1호</x:v>
      </x:c>
      <x:c r="F187" s="29" t="str">
        <x:v>95619</x:v>
      </x:c>
      <x:c r="G187" s="29" t="str">
        <x:v>95619</x:v>
      </x:c>
      <x:c r="H187" s="31" t="str">
        <x:v>1.0</x:v>
      </x:c>
      <x:c r="I187" s="29" t="str">
        <x:v>0</x:v>
      </x:c>
      <x:c r="J187" s="29" t="str">
        <x:v>0</x:v>
      </x:c>
      <x:c r="K187" s="29" t="str">
        <x:v>0</x:v>
      </x:c>
      <x:c r="L187" s="29" t="str">
        <x:v>8</x:v>
      </x:c>
      <x:c r="M187" s="29" t="str">
        <x:v>8</x:v>
      </x:c>
      <x:c r="N187" s="29" t="str">
        <x:v>0</x:v>
      </x:c>
      <x:c r="O187" s="29" t="str">
        <x:v>&gt;10000</x:v>
      </x:c>
      <x:c r="P187" s="29" t="str">
        <x:v>0</x:v>
      </x:c>
      <x:c r="Q187" s="29" t="str">
        <x:v>0</x:v>
      </x:c>
      <x:c r="R187" s="21" t="str"/>
      <x:c r="S187" s="21" t="str"/>
      <x:c r="T187" s="21" t="str">
        <x:v>["삼성1.5년매칭형증권투자신탁제1호[채권]_C-P", "알리안츠다이나믹멀티에셋증권투자신탁[주식혼합_파생재간접형] Class C(F)", "한국밸류10년투자 배당증권투자신탁(채권혼합)종류A-E"]</x:v>
      </x:c>
      <x:c r="U187" s="21" t="str">
        <x:v>[["KYOBO AXA ROBOTECH SECURITIES FEEDER INVESTMENT TRUST 1(H) [EQUITY]", 107], ["소규모해지", 88], ["HANWHA ENERGY INFRA MLP SPECIAL ASSET FEEDER FUND1(INFRA-FOF)", 83], ["MIRAEASSET MAPS US BLUE-CHIP INDEX EQUITY INVESTMENT TRUST 1CLASS 01", 80], ["miraeasset", 27], ["SH US S&amp;P500 INDEX SECURITY FEEDER INVESTMENT TRUST(H)[EQUITY-DERIVATIVES]", 19], ["KB 글로벌 테크놀로지 EMP 증권 자투자신탁(주식-재간접형) C-PE", 14], ["다올중국1등주증권자투자신탁[주식] 종류C-Pe", 14], ["삼성미국S&amp;P500인덱스증권자투자신탁UH[주식] Cpe(퇴직)", 13], ["KCGI프리덤적격TDF2030증권자투자신탁[채권혼합-재간접형]종류C-Pe2", 13]]</x:v>
      </x:c>
    </x:row>
    <x:row r="188">
      <x:c r="A188" s="21" t="str">
        <x:v>PRFD01N001</x:v>
      </x:c>
      <x:c r="B188" s="21" t="str">
        <x:v>itm_nm</x:v>
      </x:c>
      <x:c r="C188" s="21" t="str">
        <x:v>text</x:v>
      </x:c>
      <x:c r="D188" s="21" t="str">
        <x:v>종목명</x:v>
      </x:c>
      <x:c r="E188" s="21" t="str">
        <x:v>삼성 베스트 MMF 법인 제1호</x:v>
      </x:c>
      <x:c r="F188" s="29" t="str">
        <x:v>95619</x:v>
      </x:c>
      <x:c r="G188" s="29" t="str">
        <x:v>95619</x:v>
      </x:c>
      <x:c r="H188" s="31" t="str">
        <x:v>1.0</x:v>
      </x:c>
      <x:c r="I188" s="29" t="str">
        <x:v>0</x:v>
      </x:c>
      <x:c r="J188" s="29" t="str">
        <x:v>0</x:v>
      </x:c>
      <x:c r="K188" s="29" t="str">
        <x:v>0</x:v>
      </x:c>
      <x:c r="L188" s="29" t="str">
        <x:v>0</x:v>
      </x:c>
      <x:c r="M188" s="29" t="str">
        <x:v>0</x:v>
      </x:c>
      <x:c r="N188" s="29" t="str">
        <x:v>0</x:v>
      </x:c>
      <x:c r="O188" s="29" t="str">
        <x:v>&gt;10000</x:v>
      </x:c>
      <x:c r="P188" s="29" t="str"/>
      <x:c r="Q188" s="29" t="str"/>
      <x:c r="R188" s="21" t="str"/>
      <x:c r="S188" s="21" t="str"/>
      <x:c r="T188" s="21" t="str">
        <x:v>["삼성1.5년매칭형증권투자신탁제1호[채권]_C-P", "알리안츠다이나믹멀티에셋증권투자신탁[주식혼합_파생재간접형] Class C(F)", "한국밸류10년투자 배당증권투자신탁(채권혼합)종류A-E"]</x:v>
      </x:c>
      <x:c r="U188" s="21" t="str">
        <x:v>[["KB 글로벌 테크놀로지 EMP 증권 자투자신탁(주식-재간접형) C-Pe", 14], ["한화에너지인프라MLP특별자산자투자회사(인프라-재간접형) 종류Ce", 14], ["다올중국1등주증권자투자신탁[주식] 종류C-Pe", 14], ["삼성미국S&amp;P500인덱스증권자투자신탁UH[주식] Cpe(퇴직)", 13], ["KCGI프리덤적격TDF2030증권자투자신탁[채권혼합-재간접형]종류C-Pe2", 13], ["피델리티차이나컨슈머증권자투자신탁(주식-재간접형)종류 PRS", 13], ["미래에셋클린인프라포커스증권자투자신탁[주식]A", 13], ["미래에셋베트남증권자투자신탁1호(UH)(주식)C-Pe", 13], ["한국투자신종개인연금적격TDF알아서2050증권전환형자투자신탁H(주식혼합-재간접형)(C-e)", 13], ["한국투자적격TDF알아서2030증권투자신탁(주식혼합-재간접형)종류C-Re", 13]]</x:v>
      </x:c>
    </x:row>
    <x:row r="189">
      <x:c r="A189" s="21" t="str">
        <x:v>PRFD01N001</x:v>
      </x:c>
      <x:c r="B189" s="21" t="str">
        <x:v>itm_no</x:v>
      </x:c>
      <x:c r="C189" s="21" t="str">
        <x:v>text</x:v>
      </x:c>
      <x:c r="D189" s="21" t="str">
        <x:v>종목번호</x:v>
      </x:c>
      <x:c r="E189" s="21" t="str">
        <x:v>KR5014410050</x:v>
      </x:c>
      <x:c r="F189" s="29" t="str">
        <x:v>95619</x:v>
      </x:c>
      <x:c r="G189" s="29" t="str">
        <x:v>95619</x:v>
      </x:c>
      <x:c r="H189" s="31" t="str">
        <x:v>1.0</x:v>
      </x:c>
      <x:c r="I189" s="29" t="str">
        <x:v>0</x:v>
      </x:c>
      <x:c r="J189" s="29" t="str">
        <x:v>0</x:v>
      </x:c>
      <x:c r="K189" s="29" t="str">
        <x:v>0</x:v>
      </x:c>
      <x:c r="L189" s="29" t="str">
        <x:v>0</x:v>
      </x:c>
      <x:c r="M189" s="29" t="str">
        <x:v>0</x:v>
      </x:c>
      <x:c r="N189" s="29" t="str">
        <x:v>0</x:v>
      </x:c>
      <x:c r="O189" s="29" t="str">
        <x:v>&gt;10000</x:v>
      </x:c>
      <x:c r="P189" s="29" t="str"/>
      <x:c r="Q189" s="29" t="str"/>
      <x:c r="R189" s="21" t="str"/>
      <x:c r="S189" s="21" t="str"/>
      <x:c r="T189" s="21" t="str">
        <x:v>["KR5114420158", "KR5138490078", "KR5174430032"]</x:v>
      </x:c>
      <x:c r="U189" s="21" t="str">
        <x:v>[["KR5127490211", 14], ["KR5529400016", 14], ["KR5152450036", 14], ["KR5114450497", 13], ["KR5147490043", 13], ["KR5148490016", 13], ["KR5110651012", 13], ["KR510902976M", 13], ["KR5113490088", 13], ["KR5113490047", 13]]</x:v>
      </x:c>
    </x:row>
    <x:row r="190">
      <x:c r="A190" s="21" t="str">
        <x:v>PRFD01N001</x:v>
      </x:c>
      <x:c r="B190" s="21" t="str">
        <x:v>kofia_fd_ccd</x:v>
      </x:c>
      <x:c r="C190" s="21" t="str">
        <x:v>text</x:v>
      </x:c>
      <x:c r="D190" s="21" t="str">
        <x:v>금융투자협회펀드분류코드</x:v>
      </x:c>
      <x:c r="E190" s="21" t="str">
        <x:v>1EE11Z1200101ZZZZZZ6</x:v>
      </x:c>
      <x:c r="F190" s="29" t="str">
        <x:v>95619</x:v>
      </x:c>
      <x:c r="G190" s="29" t="str">
        <x:v>95525</x:v>
      </x:c>
      <x:c r="H190" s="31" t="str">
        <x:v>0.999017</x:v>
      </x:c>
      <x:c r="I190" s="29" t="str">
        <x:v>94</x:v>
      </x:c>
      <x:c r="J190" s="29" t="str">
        <x:v>0</x:v>
      </x:c>
      <x:c r="K190" s="29" t="str">
        <x:v>0</x:v>
      </x:c>
      <x:c r="L190" s="29" t="str">
        <x:v>35881</x:v>
      </x:c>
      <x:c r="M190" s="29" t="str">
        <x:v>22131</x:v>
      </x:c>
      <x:c r="N190" s="29" t="str">
        <x:v>0</x:v>
      </x:c>
      <x:c r="O190" s="29" t="str">
        <x:v>4782</x:v>
      </x:c>
      <x:c r="P190" s="29" t="str">
        <x:v>0</x:v>
      </x:c>
      <x:c r="Q190" s="29" t="str">
        <x:v>24111412301017111125</x:v>
      </x:c>
      <x:c r="R190" s="21" t="str"/>
      <x:c r="S190" s="21" t="str"/>
      <x:c r="T190" s="21" t="str">
        <x:v>["11111A327360131ZZZZ5", "00000000000000000000", "141112120010122ZZZZ5"]</x:v>
      </x:c>
      <x:c r="U190" s="21" t="str">
        <x:v>[["00000000000000000000", 22131], ["12113412001011111113", 324], ["16121A120360211ZZZZB", 185], ["12123612001021111ZZ2", 171], ["12113412301011111113", 170], ["1613161200102ZZZZZZC", 155], ["16123A120600211ZZZZC", 144], ["161216120010211ZZZZD", 132], ["12111412301011111113", 125], ["12113A12060011111112", 118]]</x:v>
      </x:c>
    </x:row>
    <x:row r="191">
      <x:c r="A191" s="21" t="str">
        <x:v>PRFD01N001</x:v>
      </x:c>
      <x:c r="B191" s="21" t="str">
        <x:v>ksd_itm_no</x:v>
      </x:c>
      <x:c r="C191" s="21" t="str">
        <x:v>text</x:v>
      </x:c>
      <x:c r="D191" s="21" t="str">
        <x:v>예탁원종목번호</x:v>
      </x:c>
      <x:c r="E191" s="21" t="str">
        <x:v>KRZ500626190</x:v>
      </x:c>
      <x:c r="F191" s="29" t="str">
        <x:v>95619</x:v>
      </x:c>
      <x:c r="G191" s="29" t="str">
        <x:v>95353</x:v>
      </x:c>
      <x:c r="H191" s="31" t="str">
        <x:v>0.997218</x:v>
      </x:c>
      <x:c r="I191" s="29" t="str">
        <x:v>266</x:v>
      </x:c>
      <x:c r="J191" s="29" t="str">
        <x:v>0</x:v>
      </x:c>
      <x:c r="K191" s="29" t="str">
        <x:v>0</x:v>
      </x:c>
      <x:c r="L191" s="29" t="str">
        <x:v>26</x:v>
      </x:c>
      <x:c r="M191" s="29" t="str">
        <x:v>0</x:v>
      </x:c>
      <x:c r="N191" s="29" t="str">
        <x:v>0</x:v>
      </x:c>
      <x:c r="O191" s="29" t="str">
        <x:v>&gt;10000</x:v>
      </x:c>
      <x:c r="P191" s="29" t="str">
        <x:v>12</x:v>
      </x:c>
      <x:c r="Q191" s="29" t="str">
        <x:v>12355</x:v>
      </x:c>
      <x:c r="R191" s="21" t="str"/>
      <x:c r="S191" s="21" t="str"/>
      <x:c r="T191" s="21" t="str">
        <x:v>["KRZ502532813", "KRZ502024037", "KRZ501944872"]</x:v>
      </x:c>
      <x:c r="U191" s="21" t="str">
        <x:v>[["KRZ50223568F", 14], ["KRZ701864794", 14], ["KRZ50186316F", 14], ["KRZ50203521G", 13], ["KRZ50243625B", 13], ["KRZ50173547C", 13], ["KRZ500342941", 13], ["KRZ50205320C", 13], ["KRZ502447572", 13], ["KRZ50211858F", 13]]</x:v>
      </x:c>
    </x:row>
    <x:row r="192">
      <x:c r="A192" s="21" t="str">
        <x:v>PRFD01N001</x:v>
      </x:c>
      <x:c r="B192" s="21" t="str">
        <x:v>mtco_itm_no</x:v>
      </x:c>
      <x:c r="C192" s="21" t="str">
        <x:v>text</x:v>
      </x:c>
      <x:c r="D192" s="21" t="str">
        <x:v>운용사종목번호</x:v>
      </x:c>
      <x:c r="E192" s="21" t="str">
        <x:v>0109913</x:v>
      </x:c>
      <x:c r="F192" s="29" t="str">
        <x:v>95619</x:v>
      </x:c>
      <x:c r="G192" s="29" t="str">
        <x:v>95618</x:v>
      </x:c>
      <x:c r="H192" s="31" t="str">
        <x:v>0.99999</x:v>
      </x:c>
      <x:c r="I192" s="29" t="str">
        <x:v>1</x:v>
      </x:c>
      <x:c r="J192" s="29" t="str">
        <x:v>0</x:v>
      </x:c>
      <x:c r="K192" s="29" t="str">
        <x:v>0</x:v>
      </x:c>
      <x:c r="L192" s="29" t="str">
        <x:v>64479</x:v>
      </x:c>
      <x:c r="M192" s="29" t="str">
        <x:v>245</x:v>
      </x:c>
      <x:c r="N192" s="29" t="str">
        <x:v>0</x:v>
      </x:c>
      <x:c r="O192" s="29" t="str">
        <x:v>4660</x:v>
      </x:c>
      <x:c r="P192" s="29" t="str">
        <x:v>0</x:v>
      </x:c>
      <x:c r="Q192" s="29" t="str">
        <x:v>9999999999</x:v>
      </x:c>
      <x:c r="R192" s="21" t="str"/>
      <x:c r="S192" s="21" t="str"/>
      <x:c r="T192" s="21" t="str">
        <x:v>["01MN900", "0060901", "0010200"]</x:v>
      </x:c>
      <x:c r="U192" s="21" t="str">
        <x:v>[["0012244", 153], ["0480750", 142], ["0002Z51", 141], ["0052111", 137], ["0069510", 130], ["01MA700", 129], ["0068911", 127], ["0002541", 122], ["0043511", 120], ["0537370", 113]]</x:v>
      </x:c>
    </x:row>
    <x:row r="193">
      <x:c r="A193" s="21" t="str">
        <x:v>PRFD01N001</x:v>
      </x:c>
      <x:c r="B193" s="21" t="str">
        <x:v>ofsfd_yn</x:v>
      </x:c>
      <x:c r="C193" s="21" t="str">
        <x:v>text</x:v>
      </x:c>
      <x:c r="D193" s="21" t="str">
        <x:v>역외펀드여부</x:v>
      </x:c>
      <x:c r="E193" s="21" t="str">
        <x:v>0</x:v>
      </x:c>
      <x:c r="F193" s="29" t="str">
        <x:v>95619</x:v>
      </x:c>
      <x:c r="G193" s="29" t="str">
        <x:v>95618</x:v>
      </x:c>
      <x:c r="H193" s="31" t="str">
        <x:v>0.99999</x:v>
      </x:c>
      <x:c r="I193" s="29" t="str">
        <x:v>1</x:v>
      </x:c>
      <x:c r="J193" s="29" t="str">
        <x:v>0</x:v>
      </x:c>
      <x:c r="K193" s="29" t="str">
        <x:v>0</x:v>
      </x:c>
      <x:c r="L193" s="29" t="str">
        <x:v>95618</x:v>
      </x:c>
      <x:c r="M193" s="29" t="str">
        <x:v>95618</x:v>
      </x:c>
      <x:c r="N193" s="29" t="str">
        <x:v>0</x:v>
      </x:c>
      <x:c r="O193" s="29" t="str">
        <x:v>1</x:v>
      </x:c>
      <x:c r="P193" s="29" t="str">
        <x:v>0</x:v>
      </x:c>
      <x:c r="Q193" s="29" t="str">
        <x:v>0</x:v>
      </x:c>
      <x:c r="R193" s="21" t="str"/>
      <x:c r="S193" s="21" t="str"/>
      <x:c r="T193" s="21" t="str">
        <x:v>["0"]</x:v>
      </x:c>
      <x:c r="U193" s="21" t="str">
        <x:v>[["0", 95618]]</x:v>
      </x:c>
    </x:row>
    <x:row r="194">
      <x:c r="A194" s="21" t="str">
        <x:v>PRFD01N001</x:v>
      </x:c>
      <x:c r="B194" s="21" t="str">
        <x:v>or_attr_desc</x:v>
      </x:c>
      <x:c r="C194" s="21" t="str">
        <x:v>text</x:v>
      </x:c>
      <x:c r="D194" s="21" t="str">
        <x:v>운용속성구분코드 설명</x:v>
      </x:c>
      <x:c r="E194" s="21" t="str">
        <x:v>MMF</x:v>
      </x:c>
      <x:c r="F194" s="29" t="str">
        <x:v>95619</x:v>
      </x:c>
      <x:c r="G194" s="29" t="str">
        <x:v>95553</x:v>
      </x:c>
      <x:c r="H194" s="31" t="str">
        <x:v>0.99931</x:v>
      </x:c>
      <x:c r="I194" s="29" t="str">
        <x:v>66</x:v>
      </x:c>
      <x:c r="J194" s="29" t="str">
        <x:v>0</x:v>
      </x:c>
      <x:c r="K194" s="29" t="str">
        <x:v>0</x:v>
      </x:c>
      <x:c r="L194" s="29" t="str">
        <x:v>5436</x:v>
      </x:c>
      <x:c r="M194" s="29" t="str">
        <x:v>0</x:v>
      </x:c>
      <x:c r="N194" s="29" t="str">
        <x:v>0</x:v>
      </x:c>
      <x:c r="O194" s="29" t="str">
        <x:v>11</x:v>
      </x:c>
      <x:c r="P194" s="29" t="str">
        <x:v>6</x:v>
      </x:c>
      <x:c r="Q194" s="29" t="str">
        <x:v>6</x:v>
      </x:c>
      <x:c r="R194" s="21" t="str"/>
      <x:c r="S194" s="21" t="str"/>
      <x:c r="T194" s="21" t="str">
        <x:v>["채권형", "재간접", "채권혼합"]</x:v>
      </x:c>
      <x:c r="U194" s="21" t="str">
        <x:v>[["주식형", 36338], ["재간접", 30243], ["채권혼합", 8964], ["채권형", 8344], ["06", 5436], ["주식혼합", 2782], ["MMF", 1532], ["혼합자산", 1424], ["특별자산", 412], ["임대형", 69]]</x:v>
      </x:c>
    </x:row>
    <x:row r="195">
      <x:c r="A195" s="21" t="str">
        <x:v>PRFD01N001</x:v>
      </x:c>
      <x:c r="B195" s="21" t="str">
        <x:v>or_co_xtn_itt_cd</x:v>
      </x:c>
      <x:c r="C195" s="21" t="str">
        <x:v>text</x:v>
      </x:c>
      <x:c r="D195" s="21" t="str">
        <x:v>운용회사대외기관코드</x:v>
      </x:c>
      <x:c r="E195" s="21" t="str">
        <x:v>00040010</x:v>
      </x:c>
      <x:c r="F195" s="29" t="str">
        <x:v>95619</x:v>
      </x:c>
      <x:c r="G195" s="29" t="str">
        <x:v>95553</x:v>
      </x:c>
      <x:c r="H195" s="31" t="str">
        <x:v>0.99931</x:v>
      </x:c>
      <x:c r="I195" s="29" t="str">
        <x:v>66</x:v>
      </x:c>
      <x:c r="J195" s="29" t="str">
        <x:v>0</x:v>
      </x:c>
      <x:c r="K195" s="29" t="str">
        <x:v>0</x:v>
      </x:c>
      <x:c r="L195" s="29" t="str">
        <x:v>95553</x:v>
      </x:c>
      <x:c r="M195" s="29" t="str">
        <x:v>0</x:v>
      </x:c>
      <x:c r="N195" s="29" t="str">
        <x:v>0</x:v>
      </x:c>
      <x:c r="O195" s="29" t="str">
        <x:v>67</x:v>
      </x:c>
      <x:c r="P195" s="29" t="str">
        <x:v>40001</x:v>
      </x:c>
      <x:c r="Q195" s="29" t="str">
        <x:v>80368</x:v>
      </x:c>
      <x:c r="R195" s="21" t="str"/>
      <x:c r="S195" s="21" t="str"/>
      <x:c r="T195" s="21" t="str">
        <x:v>["00040010", "00040023", "00080021"]</x:v>
      </x:c>
      <x:c r="U195" s="21" t="str">
        <x:v>[["00080008", 24472], ["00040010", 8511], ["00040035", 6142], ["00040024", 5424], ["00040067", 4168], ["00040007", 3705], ["00040027", 3649], ["00080052", 3082], ["00080029", 2900], ["00040040", 2778]]</x:v>
      </x:c>
    </x:row>
    <x:row r="196">
      <x:c r="A196" s="21" t="str">
        <x:v>PRFD01N001</x:v>
      </x:c>
      <x:c r="B196" s="21" t="str">
        <x:v>ovrs_fd_desc</x:v>
      </x:c>
      <x:c r="C196" s="21" t="str">
        <x:v>text</x:v>
      </x:c>
      <x:c r="D196" s="21" t="str">
        <x:v>해외펀드구분코드 설명</x:v>
      </x:c>
      <x:c r="E196" s="21" t="str">
        <x:v>국내</x:v>
      </x:c>
      <x:c r="F196" s="29" t="str">
        <x:v>95619</x:v>
      </x:c>
      <x:c r="G196" s="29" t="str">
        <x:v>95553</x:v>
      </x:c>
      <x:c r="H196" s="31" t="str">
        <x:v>0.99931</x:v>
      </x:c>
      <x:c r="I196" s="29" t="str">
        <x:v>66</x:v>
      </x:c>
      <x:c r="J196" s="29" t="str">
        <x:v>0</x:v>
      </x:c>
      <x:c r="K196" s="29" t="str">
        <x:v>0</x:v>
      </x:c>
      <x:c r="L196" s="29" t="str">
        <x:v>0</x:v>
      </x:c>
      <x:c r="M196" s="29" t="str">
        <x:v>0</x:v>
      </x:c>
      <x:c r="N196" s="29" t="str">
        <x:v>0</x:v>
      </x:c>
      <x:c r="O196" s="29" t="str">
        <x:v>3</x:v>
      </x:c>
      <x:c r="P196" s="29" t="str"/>
      <x:c r="Q196" s="29" t="str"/>
      <x:c r="R196" s="21" t="str"/>
      <x:c r="S196" s="21" t="str"/>
      <x:c r="T196" s="21" t="str">
        <x:v>["국내", "해외", "국내외혼합"]</x:v>
      </x:c>
      <x:c r="U196" s="21" t="str">
        <x:v>[["해외", 51628], ["국내", 33107], ["국내외혼합", 10818]]</x:v>
      </x:c>
    </x:row>
    <x:row r="197">
      <x:c r="A197" s="21" t="str">
        <x:v>PRFD01N001</x:v>
      </x:c>
      <x:c r="B197" s="21" t="str">
        <x:v>pers_corp_desc</x:v>
      </x:c>
      <x:c r="C197" s="21" t="str">
        <x:v>text</x:v>
      </x:c>
      <x:c r="D197" s="21" t="str">
        <x:v>개인법인구분코드 설명</x:v>
      </x:c>
      <x:c r="E197" s="21" t="str">
        <x:v>법인</x:v>
      </x:c>
      <x:c r="F197" s="29" t="str">
        <x:v>95619</x:v>
      </x:c>
      <x:c r="G197" s="29" t="str">
        <x:v>95553</x:v>
      </x:c>
      <x:c r="H197" s="31" t="str">
        <x:v>0.99931</x:v>
      </x:c>
      <x:c r="I197" s="29" t="str">
        <x:v>66</x:v>
      </x:c>
      <x:c r="J197" s="29" t="str">
        <x:v>0</x:v>
      </x:c>
      <x:c r="K197" s="29" t="str">
        <x:v>0</x:v>
      </x:c>
      <x:c r="L197" s="29" t="str">
        <x:v>0</x:v>
      </x:c>
      <x:c r="M197" s="29" t="str">
        <x:v>0</x:v>
      </x:c>
      <x:c r="N197" s="29" t="str">
        <x:v>0</x:v>
      </x:c>
      <x:c r="O197" s="29" t="str">
        <x:v>3</x:v>
      </x:c>
      <x:c r="P197" s="29" t="str"/>
      <x:c r="Q197" s="29" t="str"/>
      <x:c r="R197" s="21" t="str"/>
      <x:c r="S197" s="21" t="str"/>
      <x:c r="T197" s="21" t="str">
        <x:v>["개인", "해당없음", "법인"]</x:v>
      </x:c>
      <x:c r="U197" s="21" t="str">
        <x:v>[["해당없음", 73054], ["개인", 17643], ["법인", 4856]]</x:v>
      </x:c>
    </x:row>
    <x:row r="198">
      <x:c r="A198" s="21" t="str">
        <x:v>PRFD01N001</x:v>
      </x:c>
      <x:c r="B198" s="21" t="str">
        <x:v>pfiv_sale_cntl_tcd</x:v>
      </x:c>
      <x:c r="C198" s="21" t="str">
        <x:v>text</x:v>
      </x:c>
      <x:c r="D198" s="21" t="str">
        <x:v>전문투자자판매제어구분코드</x:v>
      </x:c>
      <x:c r="E198" s="21" t="str">
        <x:v>00</x:v>
      </x:c>
      <x:c r="F198" s="29" t="str">
        <x:v>95619</x:v>
      </x:c>
      <x:c r="G198" s="29" t="str">
        <x:v>95553</x:v>
      </x:c>
      <x:c r="H198" s="31" t="str">
        <x:v>0.99931</x:v>
      </x:c>
      <x:c r="I198" s="29" t="str">
        <x:v>66</x:v>
      </x:c>
      <x:c r="J198" s="29" t="str">
        <x:v>0</x:v>
      </x:c>
      <x:c r="K198" s="29" t="str">
        <x:v>0</x:v>
      </x:c>
      <x:c r="L198" s="29" t="str">
        <x:v>95553</x:v>
      </x:c>
      <x:c r="M198" s="29" t="str">
        <x:v>95014</x:v>
      </x:c>
      <x:c r="N198" s="29" t="str">
        <x:v>0</x:v>
      </x:c>
      <x:c r="O198" s="29" t="str">
        <x:v>3</x:v>
      </x:c>
      <x:c r="P198" s="29" t="str">
        <x:v>0</x:v>
      </x:c>
      <x:c r="Q198" s="29" t="str">
        <x:v>2</x:v>
      </x:c>
      <x:c r="R198" s="21" t="str"/>
      <x:c r="S198" s="21" t="str"/>
      <x:c r="T198" s="21" t="str">
        <x:v>["00", "01", "02"]</x:v>
      </x:c>
      <x:c r="U198" s="21" t="str">
        <x:v>[["00", 95014], ["01", 430], ["02", 109]]</x:v>
      </x:c>
    </x:row>
    <x:row r="199">
      <x:c r="A199" s="21" t="str">
        <x:v>PRFD01N001</x:v>
      </x:c>
      <x:c r="B199" s="21" t="str">
        <x:v>prfd_attr_cd</x:v>
      </x:c>
      <x:c r="C199" s="21" t="str">
        <x:v>text</x:v>
      </x:c>
      <x:c r="D199" s="21" t="str">
        <x:v>펀드별속성코드</x:v>
      </x:c>
      <x:c r="E199" s="21" t="str">
        <x:v>V101</x:v>
      </x:c>
      <x:c r="F199" s="29" t="str">
        <x:v>95619</x:v>
      </x:c>
      <x:c r="G199" s="29" t="str">
        <x:v>95619</x:v>
      </x:c>
      <x:c r="H199" s="31" t="str">
        <x:v>1.0</x:v>
      </x:c>
      <x:c r="I199" s="29" t="str">
        <x:v>0</x:v>
      </x:c>
      <x:c r="J199" s="29" t="str">
        <x:v>0</x:v>
      </x:c>
      <x:c r="K199" s="29" t="str">
        <x:v>0</x:v>
      </x:c>
      <x:c r="L199" s="29" t="str">
        <x:v>0</x:v>
      </x:c>
      <x:c r="M199" s="29" t="str">
        <x:v>0</x:v>
      </x:c>
      <x:c r="N199" s="29" t="str">
        <x:v>0</x:v>
      </x:c>
      <x:c r="O199" s="29" t="str">
        <x:v>228</x:v>
      </x:c>
      <x:c r="P199" s="29" t="str"/>
      <x:c r="Q199" s="29" t="str"/>
      <x:c r="R199" s="21" t="str"/>
      <x:c r="S199" s="21" t="str"/>
      <x:c r="T199" s="21" t="str">
        <x:v>["F103", "V102", "M111"]</x:v>
      </x:c>
      <x:c r="U199" s="21" t="str">
        <x:v>[["C103", 10943], ["D102", 10916], ["C101", 10559], ["M111", 10368], ["M109", 6955], ["V102", 5124], ["V101", 4667], ["D106", 3624], ["W101", 3138], ["F103", 3038]]</x:v>
      </x:c>
    </x:row>
    <x:row r="200">
      <x:c r="A200" s="21" t="str">
        <x:v>PRFD01N001</x:v>
      </x:c>
      <x:c r="B200" s="21" t="str">
        <x:v>prvo_fd_desc</x:v>
      </x:c>
      <x:c r="C200" s="21" t="str">
        <x:v>text</x:v>
      </x:c>
      <x:c r="D200" s="21" t="str">
        <x:v>사모펀드구분코드 설명</x:v>
      </x:c>
      <x:c r="E200" s="21" t="str">
        <x:v>해당없음</x:v>
      </x:c>
      <x:c r="F200" s="29" t="str">
        <x:v>95619</x:v>
      </x:c>
      <x:c r="G200" s="29" t="str">
        <x:v>95553</x:v>
      </x:c>
      <x:c r="H200" s="31" t="str">
        <x:v>0.99931</x:v>
      </x:c>
      <x:c r="I200" s="29" t="str">
        <x:v>66</x:v>
      </x:c>
      <x:c r="J200" s="29" t="str">
        <x:v>0</x:v>
      </x:c>
      <x:c r="K200" s="29" t="str">
        <x:v>0</x:v>
      </x:c>
      <x:c r="L200" s="29" t="str">
        <x:v>0</x:v>
      </x:c>
      <x:c r="M200" s="29" t="str">
        <x:v>0</x:v>
      </x:c>
      <x:c r="N200" s="29" t="str">
        <x:v>0</x:v>
      </x:c>
      <x:c r="O200" s="29" t="str">
        <x:v>2</x:v>
      </x:c>
      <x:c r="P200" s="29" t="str"/>
      <x:c r="Q200" s="29" t="str"/>
      <x:c r="R200" s="21" t="str"/>
      <x:c r="S200" s="21" t="str"/>
      <x:c r="T200" s="21" t="str">
        <x:v>["해당없음", "일반사모(2015년전)"]</x:v>
      </x:c>
      <x:c r="U200" s="21" t="str">
        <x:v>[["해당없음", 95451], ["일반사모(2015년전)", 102]]</x:v>
      </x:c>
    </x:row>
    <x:row r="201">
      <x:c r="A201" s="21" t="str">
        <x:v>PRFD01N001</x:v>
      </x:c>
      <x:c r="B201" s="21" t="str">
        <x:v>prvo_pbff_desc</x:v>
      </x:c>
      <x:c r="C201" s="21" t="str">
        <x:v>text</x:v>
      </x:c>
      <x:c r="D201" s="21" t="str">
        <x:v>사모/공모구분코드 설명</x:v>
      </x:c>
      <x:c r="E201" s="21" t="str">
        <x:v>공모</x:v>
      </x:c>
      <x:c r="F201" s="29" t="str">
        <x:v>95619</x:v>
      </x:c>
      <x:c r="G201" s="29" t="str">
        <x:v>95553</x:v>
      </x:c>
      <x:c r="H201" s="31" t="str">
        <x:v>0.99931</x:v>
      </x:c>
      <x:c r="I201" s="29" t="str">
        <x:v>66</x:v>
      </x:c>
      <x:c r="J201" s="29" t="str">
        <x:v>0</x:v>
      </x:c>
      <x:c r="K201" s="29" t="str">
        <x:v>0</x:v>
      </x:c>
      <x:c r="L201" s="29" t="str">
        <x:v>0</x:v>
      </x:c>
      <x:c r="M201" s="29" t="str">
        <x:v>0</x:v>
      </x:c>
      <x:c r="N201" s="29" t="str">
        <x:v>0</x:v>
      </x:c>
      <x:c r="O201" s="29" t="str">
        <x:v>2</x:v>
      </x:c>
      <x:c r="P201" s="29" t="str"/>
      <x:c r="Q201" s="29" t="str"/>
      <x:c r="R201" s="21" t="str"/>
      <x:c r="S201" s="21" t="str"/>
      <x:c r="T201" s="21" t="str">
        <x:v>["공모", "사모"]</x:v>
      </x:c>
      <x:c r="U201" s="21" t="str">
        <x:v>[["공모", 95451], ["사모", 102]]</x:v>
      </x:c>
    </x:row>
    <x:row r="202">
      <x:c r="A202" s="21" t="str">
        <x:v>PRFD01N001</x:v>
      </x:c>
      <x:c r="B202" s="21" t="str">
        <x:v>rptt_ksd_itm_no</x:v>
      </x:c>
      <x:c r="C202" s="21" t="str">
        <x:v>text</x:v>
      </x:c>
      <x:c r="D202" s="21" t="str">
        <x:v>대표예탁원종목번호</x:v>
      </x:c>
      <x:c r="E202" s="21" t="str">
        <x:v>030200109913</x:v>
      </x:c>
      <x:c r="F202" s="29" t="str">
        <x:v>95619</x:v>
      </x:c>
      <x:c r="G202" s="29" t="str">
        <x:v>95553</x:v>
      </x:c>
      <x:c r="H202" s="31" t="str">
        <x:v>0.99931</x:v>
      </x:c>
      <x:c r="I202" s="29" t="str">
        <x:v>66</x:v>
      </x:c>
      <x:c r="J202" s="29" t="str">
        <x:v>0</x:v>
      </x:c>
      <x:c r="K202" s="29" t="str">
        <x:v>0</x:v>
      </x:c>
      <x:c r="L202" s="29" t="str">
        <x:v>62929</x:v>
      </x:c>
      <x:c r="M202" s="29" t="str">
        <x:v>989</x:v>
      </x:c>
      <x:c r="N202" s="29" t="str">
        <x:v>0</x:v>
      </x:c>
      <x:c r="O202" s="29" t="str">
        <x:v>2628</x:v>
      </x:c>
      <x:c r="P202" s="29" t="str">
        <x:v>0</x:v>
      </x:c>
      <x:c r="Q202" s="29" t="str">
        <x:v>200010218751</x:v>
      </x:c>
      <x:c r="R202" s="21" t="str"/>
      <x:c r="S202" s="21" t="str"/>
      <x:c r="T202" s="21" t="str">
        <x:v>["0302001MN900", "032110060901", "033910010200"]</x:v>
      </x:c>
      <x:c r="U202" s="21" t="str">
        <x:v>[["KR0000000000", 1525], ["000000000000", 976], ["033180052111", 164], ["032400012244", 153], ["033180048111", 151], ["033180043511", 143], ["031910480750", 142], ["030230002Z51", 141], ["031910482550", 135], ["0337500F0350", 133]]</x:v>
      </x:c>
    </x:row>
    <x:row r="203">
      <x:c r="A203" s="21" t="str">
        <x:v>PRFD01N001</x:v>
      </x:c>
      <x:c r="B203" s="21" t="str">
        <x:v>sale_yn</x:v>
      </x:c>
      <x:c r="C203" s="21" t="str">
        <x:v>text</x:v>
      </x:c>
      <x:c r="D203" s="21" t="str">
        <x:v>판매여부</x:v>
      </x:c>
      <x:c r="E203" s="21" t="str">
        <x:v>판매중</x:v>
      </x:c>
      <x:c r="F203" s="29" t="str">
        <x:v>95619</x:v>
      </x:c>
      <x:c r="G203" s="29" t="str">
        <x:v>95618</x:v>
      </x:c>
      <x:c r="H203" s="31" t="str">
        <x:v>0.99999</x:v>
      </x:c>
      <x:c r="I203" s="29" t="str">
        <x:v>1</x:v>
      </x:c>
      <x:c r="J203" s="29" t="str">
        <x:v>0</x:v>
      </x:c>
      <x:c r="K203" s="29" t="str">
        <x:v>0</x:v>
      </x:c>
      <x:c r="L203" s="29" t="str">
        <x:v>0</x:v>
      </x:c>
      <x:c r="M203" s="29" t="str">
        <x:v>0</x:v>
      </x:c>
      <x:c r="N203" s="29" t="str">
        <x:v>0</x:v>
      </x:c>
      <x:c r="O203" s="29" t="str">
        <x:v>2</x:v>
      </x:c>
      <x:c r="P203" s="29" t="str"/>
      <x:c r="Q203" s="29" t="str"/>
      <x:c r="R203" s="21" t="str"/>
      <x:c r="S203" s="21" t="str"/>
      <x:c r="T203" s="21" t="str">
        <x:v>["판매완료", "판매중"]</x:v>
      </x:c>
      <x:c r="U203" s="21" t="str">
        <x:v>[["판매중", 76318], ["판매완료", 19300]]</x:v>
      </x:c>
    </x:row>
    <x:row r="204">
      <x:c r="A204" s="21" t="str">
        <x:v>PRFD01N001</x:v>
      </x:c>
      <x:c r="B204" s="21" t="str">
        <x:v>std_itm_no</x:v>
      </x:c>
      <x:c r="C204" s="21" t="str">
        <x:v>text</x:v>
      </x:c>
      <x:c r="D204" s="21" t="str">
        <x:v>표준종목번호</x:v>
      </x:c>
      <x:c r="E204" s="21" t="str">
        <x:v>KR5214272621</x:v>
      </x:c>
      <x:c r="F204" s="29" t="str">
        <x:v>95619</x:v>
      </x:c>
      <x:c r="G204" s="29" t="str">
        <x:v>95553</x:v>
      </x:c>
      <x:c r="H204" s="31" t="str">
        <x:v>0.99931</x:v>
      </x:c>
      <x:c r="I204" s="29" t="str">
        <x:v>66</x:v>
      </x:c>
      <x:c r="J204" s="29" t="str">
        <x:v>0</x:v>
      </x:c>
      <x:c r="K204" s="29" t="str">
        <x:v>0</x:v>
      </x:c>
      <x:c r="L204" s="29" t="str">
        <x:v>0</x:v>
      </x:c>
      <x:c r="M204" s="29" t="str">
        <x:v>0</x:v>
      </x:c>
      <x:c r="N204" s="29" t="str">
        <x:v>0</x:v>
      </x:c>
      <x:c r="O204" s="29" t="str">
        <x:v>&gt;10000</x:v>
      </x:c>
      <x:c r="P204" s="29" t="str"/>
      <x:c r="Q204" s="29" t="str"/>
      <x:c r="R204" s="21" t="str"/>
      <x:c r="S204" s="21" t="str"/>
      <x:c r="T204" s="21" t="str">
        <x:v>["K55105DY4714", "K55228B78547", "KR5236AY2947"]</x:v>
      </x:c>
      <x:c r="U204" s="21" t="str">
        <x:v>[["K55223C30034", 14], ["KRM213AN5495", 14], ["K55306BT9453", 14], ["K55105BU1120", 13], ["K55365DA5417", 13], ["KR5235AK9766", 13], ["KR5205678760", 13], ["K55301BC5232", 13], ["K55101DF0008", 13], ["K55101BT4402", 13]]</x:v>
      </x:c>
    </x:row>
    <x:row r="205">
      <x:c r="A205" s="21" t="str">
        <x:v>PRFD01N001</x:v>
      </x:c>
      <x:c r="B205" s="21" t="str">
        <x:v>thco_sale_yn</x:v>
      </x:c>
      <x:c r="C205" s="21" t="str">
        <x:v>text</x:v>
      </x:c>
      <x:c r="D205" s="21" t="str">
        <x:v>당사판매여부</x:v>
      </x:c>
      <x:c r="E205" s="21" t="str">
        <x:v>Y</x:v>
      </x:c>
      <x:c r="F205" s="29" t="str">
        <x:v>95619</x:v>
      </x:c>
      <x:c r="G205" s="29" t="str">
        <x:v>91595</x:v>
      </x:c>
      <x:c r="H205" s="31" t="str">
        <x:v>0.957916</x:v>
      </x:c>
      <x:c r="I205" s="29" t="str">
        <x:v>4024</x:v>
      </x:c>
      <x:c r="J205" s="29" t="str">
        <x:v>0</x:v>
      </x:c>
      <x:c r="K205" s="29" t="str">
        <x:v>0</x:v>
      </x:c>
      <x:c r="L205" s="29" t="str">
        <x:v>0</x:v>
      </x:c>
      <x:c r="M205" s="29" t="str">
        <x:v>0</x:v>
      </x:c>
      <x:c r="N205" s="29" t="str">
        <x:v>0</x:v>
      </x:c>
      <x:c r="O205" s="29" t="str">
        <x:v>2</x:v>
      </x:c>
      <x:c r="P205" s="29" t="str"/>
      <x:c r="Q205" s="29" t="str"/>
      <x:c r="R205" s="21" t="str"/>
      <x:c r="S205" s="21" t="str"/>
      <x:c r="T205" s="21" t="str">
        <x:v>["Y", "KRZ50226929C"]</x:v>
      </x:c>
      <x:c r="U205" s="21" t="str">
        <x:v>[["Y", 91594], ["KRZ50226929C", 1]]</x:v>
      </x:c>
    </x:row>
    <x:row r="206">
      <x:c r="A206" s="21" t="str">
        <x:v>PRFD01N001</x:v>
      </x:c>
      <x:c r="B206" s="21" t="str">
        <x:v>trusc_xtn_itt_cd</x:v>
      </x:c>
      <x:c r="C206" s="21" t="str">
        <x:v>text</x:v>
      </x:c>
      <x:c r="D206" s="21" t="str">
        <x:v>수탁회사대외기관코드</x:v>
      </x:c>
      <x:c r="E206" s="21" t="str">
        <x:v>00050004</x:v>
      </x:c>
      <x:c r="F206" s="29" t="str">
        <x:v>95619</x:v>
      </x:c>
      <x:c r="G206" s="29" t="str">
        <x:v>95553</x:v>
      </x:c>
      <x:c r="H206" s="31" t="str">
        <x:v>0.99931</x:v>
      </x:c>
      <x:c r="I206" s="29" t="str">
        <x:v>66</x:v>
      </x:c>
      <x:c r="J206" s="29" t="str">
        <x:v>0</x:v>
      </x:c>
      <x:c r="K206" s="29" t="str">
        <x:v>0</x:v>
      </x:c>
      <x:c r="L206" s="29" t="str">
        <x:v>95553</x:v>
      </x:c>
      <x:c r="M206" s="29" t="str">
        <x:v>0</x:v>
      </x:c>
      <x:c r="N206" s="29" t="str">
        <x:v>0</x:v>
      </x:c>
      <x:c r="O206" s="29" t="str">
        <x:v>18</x:v>
      </x:c>
      <x:c r="P206" s="29" t="str">
        <x:v>16022</x:v>
      </x:c>
      <x:c r="Q206" s="29" t="str">
        <x:v>160037</x:v>
      </x:c>
      <x:c r="R206" s="21" t="str"/>
      <x:c r="S206" s="21" t="str"/>
      <x:c r="T206" s="21" t="str">
        <x:v>["00020054", "00020088", "00020004"]</x:v>
      </x:c>
      <x:c r="U206" s="21" t="str">
        <x:v>[["00020054", 20064], ["00020004", 18156], ["00020027", 16820], ["00020081", 14100], ["00020088", 9763], ["00020020", 6764], ["00020003", 3239], ["00020011", 2091], ["00050004", 2088], ["00020032", 902]]</x:v>
      </x:c>
    </x:row>
    <x:row r="207">
      <x:c r="A207" s="21" t="str">
        <x:v>PRFD01N001</x:v>
      </x:c>
      <x:c r="B207" s="21" t="str">
        <x:v>zrin_fd_ivst_risk_gcd</x:v>
      </x:c>
      <x:c r="C207" s="21" t="str">
        <x:v>text</x:v>
      </x:c>
      <x:c r="D207" s="21" t="str">
        <x:v>제로인펀드투자위험등급코드</x:v>
      </x:c>
      <x:c r="E207" s="21" t="str">
        <x:v>6</x:v>
      </x:c>
      <x:c r="F207" s="29" t="str">
        <x:v>95619</x:v>
      </x:c>
      <x:c r="G207" s="29" t="str">
        <x:v>95619</x:v>
      </x:c>
      <x:c r="H207" s="31" t="str">
        <x:v>1.0</x:v>
      </x:c>
      <x:c r="I207" s="29" t="str">
        <x:v>0</x:v>
      </x:c>
      <x:c r="J207" s="29" t="str">
        <x:v>0</x:v>
      </x:c>
      <x:c r="K207" s="29" t="str">
        <x:v>18416</x:v>
      </x:c>
      <x:c r="L207" s="29" t="str">
        <x:v>77203</x:v>
      </x:c>
      <x:c r="M207" s="29" t="str">
        <x:v>0</x:v>
      </x:c>
      <x:c r="N207" s="29" t="str">
        <x:v>0</x:v>
      </x:c>
      <x:c r="O207" s="29" t="str">
        <x:v>8</x:v>
      </x:c>
      <x:c r="P207" s="29" t="str">
        <x:v>1</x:v>
      </x:c>
      <x:c r="Q207" s="29" t="str">
        <x:v>20054</x:v>
      </x:c>
      <x:c r="R207" s="21" t="str"/>
      <x:c r="S207" s="21" t="str"/>
      <x:c r="T207" s="21" t="str">
        <x:v>["NULL", "4", "3"]</x:v>
      </x:c>
      <x:c r="U207" s="21" t="str">
        <x:v>[["2", 29251], ["NULL", 18416], ["3", 16892], ["4", 13103], ["5", 9788], ["1", 5771], ["6", 2397], ["00020054", 1]]</x:v>
      </x:c>
    </x:row>
    <x:row r="208">
      <x:c r="A208" s="21" t="str">
        <x:v>PRFD01N001</x:v>
      </x:c>
      <x:c r="B208" s="21" t="str">
        <x:v>zrin_fd_ivst_risk_grd_nm</x:v>
      </x:c>
      <x:c r="C208" s="21" t="str">
        <x:v>text</x:v>
      </x:c>
      <x:c r="D208" s="21" t="str">
        <x:v>제로인펀드투자위험등급명</x:v>
      </x:c>
      <x:c r="E208" s="21" t="str">
        <x:v>매우 낮은 위험</x:v>
      </x:c>
      <x:c r="F208" s="29" t="str">
        <x:v>95619</x:v>
      </x:c>
      <x:c r="G208" s="29" t="str">
        <x:v>77203</x:v>
      </x:c>
      <x:c r="H208" s="31" t="str">
        <x:v>0.807402</x:v>
      </x:c>
      <x:c r="I208" s="29" t="str">
        <x:v>18416</x:v>
      </x:c>
      <x:c r="J208" s="29" t="str">
        <x:v>0</x:v>
      </x:c>
      <x:c r="K208" s="29" t="str">
        <x:v>0</x:v>
      </x:c>
      <x:c r="L208" s="29" t="str">
        <x:v>1</x:v>
      </x:c>
      <x:c r="M208" s="29" t="str">
        <x:v>0</x:v>
      </x:c>
      <x:c r="N208" s="29" t="str">
        <x:v>0</x:v>
      </x:c>
      <x:c r="O208" s="29" t="str">
        <x:v>9</x:v>
      </x:c>
      <x:c r="P208" s="29" t="str">
        <x:v>6</x:v>
      </x:c>
      <x:c r="Q208" s="29" t="str">
        <x:v>6</x:v>
      </x:c>
      <x:c r="R208" s="21" t="str"/>
      <x:c r="S208" s="21" t="str"/>
      <x:c r="T208" s="21" t="str">
        <x:v>["보통 위험", "다소 높은 위험", "높은 위험"]</x:v>
      </x:c>
      <x:c r="U208" s="21" t="str">
        <x:v>[["높은 위험", 29088], ["다소 높은 위험", 16892], ["보통 위험", 13028], ["낮은 위험", 9788], ["매우 높은 위험", 5771], ["매우 낮은 위험", 2397], ["높은위험", 163], ["보통위험", 75], ["06", 1]]</x:v>
      </x:c>
    </x:row>
  </x:sheetData>
  <x:conditionalFormatting sqref="H2:H208">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81c55d630aa04ad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2" hidden="0" customWidth="1"/>
    <x:col min="2" max="2" width="16" hidden="0" customWidth="1"/>
    <x:col min="3" max="3" width="18" hidden="0" customWidth="1"/>
    <x:col min="4" max="4" width="28" hidden="0" customWidth="1"/>
    <x:col min="5" max="5" width="16" hidden="0" customWidth="1"/>
    <x:col min="6" max="6" width="15" hidden="0" customWidth="1"/>
    <x:col min="7" max="7" width="14" hidden="0" customWidth="1"/>
    <x:col min="8" max="8" width="19" hidden="0" customWidth="1"/>
    <x:col min="9" max="9" width="22" hidden="0" customWidth="1"/>
    <x:col min="10" max="10" width="22" hidden="0" customWidth="1"/>
    <x:col min="11" max="11" width="24" hidden="0" customWidth="1"/>
    <x:col min="12" max="12" width="24" hidden="0" customWidth="1"/>
    <x:col min="13" max="13" width="21" hidden="0" customWidth="1"/>
    <x:col min="14" max="14" width="18" hidden="0" customWidth="1"/>
    <x:col min="15" max="15" width="26" hidden="0" customWidth="1"/>
    <x:col min="16" max="16" width="30" hidden="0" customWidth="1"/>
    <x:col min="17" max="17" width="24" hidden="0" customWidth="1"/>
    <x:col min="18" max="18" width="22" hidden="0" customWidth="1"/>
    <x:col min="19" max="19" width="52" hidden="0" customWidth="1"/>
  </x:cols>
  <x:sheetData>
    <x:row r="1" ht="34" customHeight="1">
      <x:c r="A1" s="12" t="str">
        <x:v>metric_id</x:v>
      </x:c>
      <x:c r="B1" s="13" t="str">
        <x:v>scope</x:v>
      </x:c>
      <x:c r="C1" s="13" t="str">
        <x:v>source_table</x:v>
      </x:c>
      <x:c r="D1" s="13" t="str">
        <x:v>source_field</x:v>
      </x:c>
      <x:c r="E1" s="13" t="str">
        <x:v>raw_denominator</x:v>
      </x:c>
      <x:c r="F1" s="13" t="str">
        <x:v>present_count</x:v>
      </x:c>
      <x:c r="G1" s="13" t="str">
        <x:v>valid_count</x:v>
      </x:c>
      <x:c r="H1" s="13" t="str">
        <x:v>serving_denominator</x:v>
      </x:c>
      <x:c r="I1" s="13" t="str">
        <x:v>serving_present_count</x:v>
      </x:c>
      <x:c r="J1" s="13" t="str">
        <x:v>type_specific_universe</x:v>
      </x:c>
      <x:c r="K1" s="13" t="str">
        <x:v>type_specific_denominator</x:v>
      </x:c>
      <x:c r="L1" s="13" t="str">
        <x:v>type_specific_present_count</x:v>
      </x:c>
      <x:c r="M1" s="13" t="str">
        <x:v>rankable_denominator</x:v>
      </x:c>
      <x:c r="N1" s="13" t="str">
        <x:v>unit_status</x:v>
      </x:c>
      <x:c r="O1" s="13" t="str">
        <x:v>zero_policy</x:v>
      </x:c>
      <x:c r="P1" s="13" t="str">
        <x:v>ranking_policy</x:v>
      </x:c>
      <x:c r="Q1" s="13" t="str">
        <x:v>cross_product_policy</x:v>
      </x:c>
      <x:c r="R1" s="13" t="str">
        <x:v>policy_state</x:v>
      </x:c>
      <x:c r="S1" s="14" t="str">
        <x:v>notes</x:v>
      </x:c>
    </x:row>
    <x:row r="2">
      <x:c r="A2" s="20" t="str">
        <x:v>bond.issue_amount</x:v>
      </x:c>
      <x:c r="B2" s="20" t="str">
        <x:v>bond</x:v>
      </x:c>
      <x:c r="C2" s="20" t="str">
        <x:v>PRBD01N001</x:v>
      </x:c>
      <x:c r="D2" s="20" t="str">
        <x:v>ISU_BAL_AMT</x:v>
      </x:c>
      <x:c r="E2" s="25" t="str">
        <x:v>42394</x:v>
      </x:c>
      <x:c r="F2" s="25" t="str">
        <x:v>42394</x:v>
      </x:c>
      <x:c r="G2" s="25" t="str">
        <x:v>OPEN</x:v>
      </x:c>
      <x:c r="H2" s="25" t="str">
        <x:v>42394</x:v>
      </x:c>
      <x:c r="I2" s="25" t="str">
        <x:v>42394</x:v>
      </x:c>
      <x:c r="J2" s="25" t="str">
        <x:v>bond_serving</x:v>
      </x:c>
      <x:c r="K2" s="25" t="str">
        <x:v>42394</x:v>
      </x:c>
      <x:c r="L2" s="25" t="str">
        <x:v>42394</x:v>
      </x:c>
      <x:c r="M2" s="25" t="str">
        <x:v>0</x:v>
      </x:c>
      <x:c r="N2" s="20" t="str">
        <x:v>PENDING_CONFIRMATION</x:v>
      </x:c>
      <x:c r="O2" s="20" t="str">
        <x:v>ZERO_UNKNOWN</x:v>
      </x:c>
      <x:c r="P2" s="20" t="str">
        <x:v>BLOCKED_PENDING_UNIT</x:v>
      </x:c>
      <x:c r="Q2" s="20" t="str">
        <x:v>BLOCKED</x:v>
      </x:c>
      <x:c r="R2" s="20" t="str">
        <x:v>OPEN</x:v>
      </x:c>
      <x:c r="S2" s="20" t="str">
        <x:v>4942 zeros</x:v>
      </x:c>
    </x:row>
    <x:row r="3">
      <x:c r="A3" s="21" t="str">
        <x:v>bond.issue_date</x:v>
      </x:c>
      <x:c r="B3" s="21" t="str">
        <x:v>bond</x:v>
      </x:c>
      <x:c r="C3" s="21" t="str">
        <x:v>PRBD01N001</x:v>
      </x:c>
      <x:c r="D3" s="21" t="str">
        <x:v>ISU_DT</x:v>
      </x:c>
      <x:c r="E3" s="26" t="str">
        <x:v>42394</x:v>
      </x:c>
      <x:c r="F3" s="26" t="str">
        <x:v>42391</x:v>
      </x:c>
      <x:c r="G3" s="26" t="str">
        <x:v>42055</x:v>
      </x:c>
      <x:c r="H3" s="26" t="str">
        <x:v>42394</x:v>
      </x:c>
      <x:c r="I3" s="26" t="str">
        <x:v>42391</x:v>
      </x:c>
      <x:c r="J3" s="26" t="str">
        <x:v>bond_serving</x:v>
      </x:c>
      <x:c r="K3" s="26" t="str">
        <x:v>42394</x:v>
      </x:c>
      <x:c r="L3" s="26" t="str">
        <x:v>42391</x:v>
      </x:c>
      <x:c r="M3" s="26" t="str">
        <x:v>0</x:v>
      </x:c>
      <x:c r="N3" s="21" t="str">
        <x:v>YYYYMMDD</x:v>
      </x:c>
      <x:c r="O3" s="21" t="str">
        <x:v>SENTINEL_0</x:v>
      </x:c>
      <x:c r="P3" s="21" t="str">
        <x:v>NOT_RANKED</x:v>
      </x:c>
      <x:c r="Q3" s="21" t="str">
        <x:v>BLOCKED</x:v>
      </x:c>
      <x:c r="R3" s="21" t="str">
        <x:v>LOCKED</x:v>
      </x:c>
      <x:c r="S3" s="21" t="str">
        <x:v>336 zero sentinels and 3 blank</x:v>
      </x:c>
    </x:row>
    <x:row r="4">
      <x:c r="A4" s="21" t="str">
        <x:v>bond.maturity_date</x:v>
      </x:c>
      <x:c r="B4" s="21" t="str">
        <x:v>bond</x:v>
      </x:c>
      <x:c r="C4" s="21" t="str">
        <x:v>PRBD01N001</x:v>
      </x:c>
      <x:c r="D4" s="21" t="str">
        <x:v>MAT_DT</x:v>
      </x:c>
      <x:c r="E4" s="26" t="str">
        <x:v>42394</x:v>
      </x:c>
      <x:c r="F4" s="26" t="str">
        <x:v>42391</x:v>
      </x:c>
      <x:c r="G4" s="26" t="str">
        <x:v>OPEN</x:v>
      </x:c>
      <x:c r="H4" s="26" t="str">
        <x:v>42394</x:v>
      </x:c>
      <x:c r="I4" s="26" t="str">
        <x:v>42391</x:v>
      </x:c>
      <x:c r="J4" s="26" t="str">
        <x:v>bond_serving</x:v>
      </x:c>
      <x:c r="K4" s="26" t="str">
        <x:v>42394</x:v>
      </x:c>
      <x:c r="L4" s="26" t="str">
        <x:v>42391</x:v>
      </x:c>
      <x:c r="M4" s="26" t="str">
        <x:v>0</x:v>
      </x:c>
      <x:c r="N4" s="21" t="str">
        <x:v>YYYYMMDD</x:v>
      </x:c>
      <x:c r="O4" s="21" t="str">
        <x:v>SENTINEL_0_99991231_OPEN</x:v>
      </x:c>
      <x:c r="P4" s="21" t="str">
        <x:v>NOT_RANKED</x:v>
      </x:c>
      <x:c r="Q4" s="21" t="str">
        <x:v>BLOCKED</x:v>
      </x:c>
      <x:c r="R4" s="21" t="str">
        <x:v>OPEN</x:v>
      </x:c>
      <x:c r="S4" s="21" t="str">
        <x:v>316 zero and 99991231 semantics OPEN</x:v>
      </x:c>
    </x:row>
    <x:row r="5">
      <x:c r="A5" s="21" t="str">
        <x:v>bond.coupon_rate</x:v>
      </x:c>
      <x:c r="B5" s="21" t="str">
        <x:v>bond</x:v>
      </x:c>
      <x:c r="C5" s="21" t="str">
        <x:v>PRBD01N001</x:v>
      </x:c>
      <x:c r="D5" s="21" t="str">
        <x:v>SRFC_IRT</x:v>
      </x:c>
      <x:c r="E5" s="26" t="str">
        <x:v>42394</x:v>
      </x:c>
      <x:c r="F5" s="26" t="str">
        <x:v>42392</x:v>
      </x:c>
      <x:c r="G5" s="26" t="str">
        <x:v>OPEN</x:v>
      </x:c>
      <x:c r="H5" s="26" t="str">
        <x:v>42394</x:v>
      </x:c>
      <x:c r="I5" s="26" t="str">
        <x:v>42392</x:v>
      </x:c>
      <x:c r="J5" s="26" t="str">
        <x:v>bond_serving</x:v>
      </x:c>
      <x:c r="K5" s="26" t="str">
        <x:v>42394</x:v>
      </x:c>
      <x:c r="L5" s="26" t="str">
        <x:v>42392</x:v>
      </x:c>
      <x:c r="M5" s="26" t="str">
        <x:v>42392</x:v>
      </x:c>
      <x:c r="N5" s="21" t="str">
        <x:v>PERCENTAGE_POINT_PENDING</x:v>
      </x:c>
      <x:c r="O5" s="21" t="str">
        <x:v>FIELD_POLICY_REQUIRED</x:v>
      </x:c>
      <x:c r="P5" s="21" t="str">
        <x:v>ALLOWED_WITH_OUTLIER_REVIEW</x:v>
      </x:c>
      <x:c r="Q5" s="21" t="str">
        <x:v>BLOCKED</x:v>
      </x:c>
      <x:c r="R5" s="21" t="str">
        <x:v>OPEN</x:v>
      </x:c>
      <x:c r="S5" s="21" t="str">
        <x:v>max 34.277 and unit OPEN</x:v>
      </x:c>
    </x:row>
    <x:row r="6">
      <x:c r="A6" s="21" t="str">
        <x:v>bond.risk_grade</x:v>
      </x:c>
      <x:c r="B6" s="21" t="str">
        <x:v>bond</x:v>
      </x:c>
      <x:c r="C6" s="21" t="str">
        <x:v>PRBD01N001</x:v>
      </x:c>
      <x:c r="D6" s="21" t="str">
        <x:v>PD_RISK_GCD</x:v>
      </x:c>
      <x:c r="E6" s="26" t="str">
        <x:v>42394</x:v>
      </x:c>
      <x:c r="F6" s="26" t="str">
        <x:v>42394</x:v>
      </x:c>
      <x:c r="G6" s="26" t="str">
        <x:v>OPEN</x:v>
      </x:c>
      <x:c r="H6" s="26" t="str">
        <x:v>42394</x:v>
      </x:c>
      <x:c r="I6" s="26" t="str">
        <x:v>42394</x:v>
      </x:c>
      <x:c r="J6" s="26" t="str">
        <x:v>bond_serving</x:v>
      </x:c>
      <x:c r="K6" s="26" t="str">
        <x:v>42394</x:v>
      </x:c>
      <x:c r="L6" s="26" t="str">
        <x:v>42394</x:v>
      </x:c>
      <x:c r="M6" s="26" t="str">
        <x:v>0</x:v>
      </x:c>
      <x:c r="N6" s="21" t="str">
        <x:v>CODE</x:v>
      </x:c>
      <x:c r="O6" s="21" t="str">
        <x:v>ZERO_UNKNOWN</x:v>
      </x:c>
      <x:c r="P6" s="21" t="str">
        <x:v>BLOCKED_PENDING_ORDER</x:v>
      </x:c>
      <x:c r="Q6" s="21" t="str">
        <x:v>BLOCKED</x:v>
      </x:c>
      <x:c r="R6" s="21" t="str">
        <x:v>OPEN</x:v>
      </x:c>
      <x:c r="S6" s="21" t="str">
        <x:v>58 zeros and direction OPEN</x:v>
      </x:c>
    </x:row>
    <x:row r="7">
      <x:c r="A7" s="21" t="str">
        <x:v>bond.credit_rating</x:v>
      </x:c>
      <x:c r="B7" s="21" t="str">
        <x:v>bond</x:v>
      </x:c>
      <x:c r="C7" s="21" t="str">
        <x:v>PRBD01N001</x:v>
      </x:c>
      <x:c r="D7" s="21" t="str">
        <x:v>CRD_GRD</x:v>
      </x:c>
      <x:c r="E7" s="26" t="str">
        <x:v>42394</x:v>
      </x:c>
      <x:c r="F7" s="26" t="str">
        <x:v>24750</x:v>
      </x:c>
      <x:c r="G7" s="26" t="str">
        <x:v>24750</x:v>
      </x:c>
      <x:c r="H7" s="26" t="str">
        <x:v>42394</x:v>
      </x:c>
      <x:c r="I7" s="26" t="str">
        <x:v>24750</x:v>
      </x:c>
      <x:c r="J7" s="26" t="str">
        <x:v>bond_with_rating</x:v>
      </x:c>
      <x:c r="K7" s="26" t="str">
        <x:v>24750</x:v>
      </x:c>
      <x:c r="L7" s="26" t="str">
        <x:v>24750</x:v>
      </x:c>
      <x:c r="M7" s="26" t="str">
        <x:v>0</x:v>
      </x:c>
      <x:c r="N7" s="21" t="str">
        <x:v>RATING</x:v>
      </x:c>
      <x:c r="O7" s="21" t="str">
        <x:v>NOT_APPLICABLE</x:v>
      </x:c>
      <x:c r="P7" s="21" t="str">
        <x:v>BLOCKED_PENDING_ORDER</x:v>
      </x:c>
      <x:c r="Q7" s="21" t="str">
        <x:v>BLOCKED</x:v>
      </x:c>
      <x:c r="R7" s="21" t="str">
        <x:v>OPEN</x:v>
      </x:c>
      <x:c r="S7" s="21" t="str">
        <x:v>rating order OPEN</x:v>
      </x:c>
    </x:row>
    <x:row r="8">
      <x:c r="A8" s="21" t="str">
        <x:v>bond.buy_yield</x:v>
      </x:c>
      <x:c r="B8" s="21" t="str">
        <x:v>bond</x:v>
      </x:c>
      <x:c r="C8" s="21" t="str">
        <x:v>PRBD01N001</x:v>
      </x:c>
      <x:c r="D8" s="21" t="str">
        <x:v>BUY_YIELD</x:v>
      </x:c>
      <x:c r="E8" s="26" t="str">
        <x:v>42394</x:v>
      </x:c>
      <x:c r="F8" s="26" t="str">
        <x:v>881</x:v>
      </x:c>
      <x:c r="G8" s="26" t="str">
        <x:v>881</x:v>
      </x:c>
      <x:c r="H8" s="26" t="str">
        <x:v>42394</x:v>
      </x:c>
      <x:c r="I8" s="26" t="str">
        <x:v>881</x:v>
      </x:c>
      <x:c r="J8" s="26" t="str">
        <x:v>bond_with_buy_yield</x:v>
      </x:c>
      <x:c r="K8" s="26" t="str">
        <x:v>881</x:v>
      </x:c>
      <x:c r="L8" s="26" t="str">
        <x:v>881</x:v>
      </x:c>
      <x:c r="M8" s="26" t="str">
        <x:v>881</x:v>
      </x:c>
      <x:c r="N8" s="21" t="str">
        <x:v>PERCENTAGE_POINT_PENDING</x:v>
      </x:c>
      <x:c r="O8" s="21" t="str">
        <x:v>FIELD_POLICY_REQUIRED</x:v>
      </x:c>
      <x:c r="P8" s="21" t="str">
        <x:v>ALLOWED_WITH_COVERAGE</x:v>
      </x:c>
      <x:c r="Q8" s="21" t="str">
        <x:v>BLOCKED</x:v>
      </x:c>
      <x:c r="R8" s="21" t="str">
        <x:v>OPEN</x:v>
      </x:c>
      <x:c r="S8" s="21" t="str">
        <x:v>coverage 2.08 percent</x:v>
      </x:c>
    </x:row>
    <x:row r="9">
      <x:c r="A9" s="21" t="str">
        <x:v>bond.corporate_pretax_yield</x:v>
      </x:c>
      <x:c r="B9" s="21" t="str">
        <x:v>bond</x:v>
      </x:c>
      <x:c r="C9" s="21" t="str">
        <x:v>PRBD01N001</x:v>
      </x:c>
      <x:c r="D9" s="21" t="str">
        <x:v>CORP_PRETAX_YIELD</x:v>
      </x:c>
      <x:c r="E9" s="26" t="str">
        <x:v>42394</x:v>
      </x:c>
      <x:c r="F9" s="26" t="str">
        <x:v>881</x:v>
      </x:c>
      <x:c r="G9" s="26" t="str">
        <x:v>881</x:v>
      </x:c>
      <x:c r="H9" s="26" t="str">
        <x:v>42394</x:v>
      </x:c>
      <x:c r="I9" s="26" t="str">
        <x:v>881</x:v>
      </x:c>
      <x:c r="J9" s="26" t="str">
        <x:v>bond_with_value</x:v>
      </x:c>
      <x:c r="K9" s="26" t="str">
        <x:v>881</x:v>
      </x:c>
      <x:c r="L9" s="26" t="str">
        <x:v>881</x:v>
      </x:c>
      <x:c r="M9" s="26" t="str">
        <x:v>881</x:v>
      </x:c>
      <x:c r="N9" s="21" t="str">
        <x:v>PERCENTAGE_POINT_PENDING</x:v>
      </x:c>
      <x:c r="O9" s="21" t="str">
        <x:v>FIELD_POLICY_REQUIRED</x:v>
      </x:c>
      <x:c r="P9" s="21" t="str">
        <x:v>ALLOWED_WITH_COVERAGE</x:v>
      </x:c>
      <x:c r="Q9" s="21" t="str">
        <x:v>BLOCKED</x:v>
      </x:c>
      <x:c r="R9" s="21" t="str">
        <x:v>OPEN</x:v>
      </x:c>
      <x:c r="S9" s="21" t="str"/>
    </x:row>
    <x:row r="10">
      <x:c r="A10" s="21" t="str">
        <x:v>bond.corporate_after_tax_yield</x:v>
      </x:c>
      <x:c r="B10" s="21" t="str">
        <x:v>bond</x:v>
      </x:c>
      <x:c r="C10" s="21" t="str">
        <x:v>PRBD01N001</x:v>
      </x:c>
      <x:c r="D10" s="21" t="str">
        <x:v>CORP_AFTER_TAX_YIELD</x:v>
      </x:c>
      <x:c r="E10" s="26" t="str">
        <x:v>42394</x:v>
      </x:c>
      <x:c r="F10" s="26" t="str">
        <x:v>881</x:v>
      </x:c>
      <x:c r="G10" s="26" t="str">
        <x:v>881</x:v>
      </x:c>
      <x:c r="H10" s="26" t="str">
        <x:v>42394</x:v>
      </x:c>
      <x:c r="I10" s="26" t="str">
        <x:v>881</x:v>
      </x:c>
      <x:c r="J10" s="26" t="str">
        <x:v>bond_with_value</x:v>
      </x:c>
      <x:c r="K10" s="26" t="str">
        <x:v>881</x:v>
      </x:c>
      <x:c r="L10" s="26" t="str">
        <x:v>881</x:v>
      </x:c>
      <x:c r="M10" s="26" t="str">
        <x:v>881</x:v>
      </x:c>
      <x:c r="N10" s="21" t="str">
        <x:v>PERCENTAGE_POINT_PENDING</x:v>
      </x:c>
      <x:c r="O10" s="21" t="str">
        <x:v>FIELD_POLICY_REQUIRED</x:v>
      </x:c>
      <x:c r="P10" s="21" t="str">
        <x:v>ALLOWED_WITH_COVERAGE</x:v>
      </x:c>
      <x:c r="Q10" s="21" t="str">
        <x:v>BLOCKED</x:v>
      </x:c>
      <x:c r="R10" s="21" t="str">
        <x:v>OPEN</x:v>
      </x:c>
      <x:c r="S10" s="21" t="str"/>
    </x:row>
    <x:row r="11">
      <x:c r="A11" s="21" t="str">
        <x:v>bond.after_tax_yield</x:v>
      </x:c>
      <x:c r="B11" s="21" t="str">
        <x:v>bond</x:v>
      </x:c>
      <x:c r="C11" s="21" t="str">
        <x:v>PRBD01N001</x:v>
      </x:c>
      <x:c r="D11" s="21" t="str">
        <x:v>AFTER_TAX_YIELD</x:v>
      </x:c>
      <x:c r="E11" s="26" t="str">
        <x:v>42394</x:v>
      </x:c>
      <x:c r="F11" s="26" t="str">
        <x:v>881</x:v>
      </x:c>
      <x:c r="G11" s="26" t="str">
        <x:v>881</x:v>
      </x:c>
      <x:c r="H11" s="26" t="str">
        <x:v>42394</x:v>
      </x:c>
      <x:c r="I11" s="26" t="str">
        <x:v>881</x:v>
      </x:c>
      <x:c r="J11" s="26" t="str">
        <x:v>bond_with_value</x:v>
      </x:c>
      <x:c r="K11" s="26" t="str">
        <x:v>881</x:v>
      </x:c>
      <x:c r="L11" s="26" t="str">
        <x:v>881</x:v>
      </x:c>
      <x:c r="M11" s="26" t="str">
        <x:v>881</x:v>
      </x:c>
      <x:c r="N11" s="21" t="str">
        <x:v>PERCENTAGE_POINT_PENDING</x:v>
      </x:c>
      <x:c r="O11" s="21" t="str">
        <x:v>FIELD_POLICY_REQUIRED</x:v>
      </x:c>
      <x:c r="P11" s="21" t="str">
        <x:v>ALLOWED_WITH_COVERAGE</x:v>
      </x:c>
      <x:c r="Q11" s="21" t="str">
        <x:v>BLOCKED</x:v>
      </x:c>
      <x:c r="R11" s="21" t="str">
        <x:v>OPEN</x:v>
      </x:c>
      <x:c r="S11" s="21" t="str"/>
    </x:row>
    <x:row r="12">
      <x:c r="A12" s="21" t="str">
        <x:v>bond.preferential_tax_yield</x:v>
      </x:c>
      <x:c r="B12" s="21" t="str">
        <x:v>bond</x:v>
      </x:c>
      <x:c r="C12" s="21" t="str">
        <x:v>PRBD01N001</x:v>
      </x:c>
      <x:c r="D12" s="21" t="str">
        <x:v>PREF_TAX_YIELD</x:v>
      </x:c>
      <x:c r="E12" s="26" t="str">
        <x:v>42394</x:v>
      </x:c>
      <x:c r="F12" s="26" t="str">
        <x:v>881</x:v>
      </x:c>
      <x:c r="G12" s="26" t="str">
        <x:v>881</x:v>
      </x:c>
      <x:c r="H12" s="26" t="str">
        <x:v>42394</x:v>
      </x:c>
      <x:c r="I12" s="26" t="str">
        <x:v>881</x:v>
      </x:c>
      <x:c r="J12" s="26" t="str">
        <x:v>bond_with_value</x:v>
      </x:c>
      <x:c r="K12" s="26" t="str">
        <x:v>881</x:v>
      </x:c>
      <x:c r="L12" s="26" t="str">
        <x:v>881</x:v>
      </x:c>
      <x:c r="M12" s="26" t="str">
        <x:v>881</x:v>
      </x:c>
      <x:c r="N12" s="21" t="str">
        <x:v>PERCENTAGE_POINT_PENDING</x:v>
      </x:c>
      <x:c r="O12" s="21" t="str">
        <x:v>FIELD_POLICY_REQUIRED</x:v>
      </x:c>
      <x:c r="P12" s="21" t="str">
        <x:v>ALLOWED_WITH_COVERAGE</x:v>
      </x:c>
      <x:c r="Q12" s="21" t="str">
        <x:v>BLOCKED</x:v>
      </x:c>
      <x:c r="R12" s="21" t="str">
        <x:v>OPEN</x:v>
      </x:c>
      <x:c r="S12" s="21" t="str"/>
    </x:row>
    <x:row r="13">
      <x:c r="A13" s="21" t="str">
        <x:v>bond.avg_annual_tax_yield</x:v>
      </x:c>
      <x:c r="B13" s="21" t="str">
        <x:v>bond</x:v>
      </x:c>
      <x:c r="C13" s="21" t="str">
        <x:v>PRBD01N001</x:v>
      </x:c>
      <x:c r="D13" s="21" t="str">
        <x:v>AVG_ANNUAL_TAX_YIELD</x:v>
      </x:c>
      <x:c r="E13" s="26" t="str">
        <x:v>42394</x:v>
      </x:c>
      <x:c r="F13" s="26" t="str">
        <x:v>881</x:v>
      </x:c>
      <x:c r="G13" s="26" t="str">
        <x:v>0</x:v>
      </x:c>
      <x:c r="H13" s="26" t="str">
        <x:v>42394</x:v>
      </x:c>
      <x:c r="I13" s="26" t="str">
        <x:v>881</x:v>
      </x:c>
      <x:c r="J13" s="26" t="str">
        <x:v>bond_with_value</x:v>
      </x:c>
      <x:c r="K13" s="26" t="str">
        <x:v>881</x:v>
      </x:c>
      <x:c r="L13" s="26" t="str">
        <x:v>881</x:v>
      </x:c>
      <x:c r="M13" s="26" t="str">
        <x:v>0</x:v>
      </x:c>
      <x:c r="N13" s="21" t="str">
        <x:v>PERCENTAGE_POINT_PENDING</x:v>
      </x:c>
      <x:c r="O13" s="21" t="str">
        <x:v>UNUSABLE_CONSTANT</x:v>
      </x:c>
      <x:c r="P13" s="21" t="str">
        <x:v>BLOCKED_CONSTANT</x:v>
      </x:c>
      <x:c r="Q13" s="21" t="str">
        <x:v>BLOCKED</x:v>
      </x:c>
      <x:c r="R13" s="21" t="str">
        <x:v>LOCKED</x:v>
      </x:c>
      <x:c r="S13" s="21" t="str">
        <x:v>881 present values all zero</x:v>
      </x:c>
    </x:row>
    <x:row r="14">
      <x:c r="A14" s="21" t="str">
        <x:v>bond.deposit_equivalent_yield_154</x:v>
      </x:c>
      <x:c r="B14" s="21" t="str">
        <x:v>bond</x:v>
      </x:c>
      <x:c r="C14" s="21" t="str">
        <x:v>PRBD01N001</x:v>
      </x:c>
      <x:c r="D14" s="21" t="str">
        <x:v>DEPO_EQUIV_YIELD_154</x:v>
      </x:c>
      <x:c r="E14" s="26" t="str">
        <x:v>42394</x:v>
      </x:c>
      <x:c r="F14" s="26" t="str">
        <x:v>881</x:v>
      </x:c>
      <x:c r="G14" s="26" t="str">
        <x:v>881</x:v>
      </x:c>
      <x:c r="H14" s="26" t="str">
        <x:v>42394</x:v>
      </x:c>
      <x:c r="I14" s="26" t="str">
        <x:v>881</x:v>
      </x:c>
      <x:c r="J14" s="26" t="str">
        <x:v>bond_with_value</x:v>
      </x:c>
      <x:c r="K14" s="26" t="str">
        <x:v>881</x:v>
      </x:c>
      <x:c r="L14" s="26" t="str">
        <x:v>881</x:v>
      </x:c>
      <x:c r="M14" s="26" t="str">
        <x:v>0</x:v>
      </x:c>
      <x:c r="N14" s="21" t="str">
        <x:v>PERCENTAGE_POINT_PENDING</x:v>
      </x:c>
      <x:c r="O14" s="21" t="str">
        <x:v>FIELD_POLICY_REQUIRED</x:v>
      </x:c>
      <x:c r="P14" s="21" t="str">
        <x:v>BLOCKED_PENDING_SEMANTICS</x:v>
      </x:c>
      <x:c r="Q14" s="21" t="str">
        <x:v>BLOCKED</x:v>
      </x:c>
      <x:c r="R14" s="21" t="str">
        <x:v>OPEN</x:v>
      </x:c>
      <x:c r="S14" s="21" t="str">
        <x:v>154 meaning OPEN</x:v>
      </x:c>
    </x:row>
    <x:row r="15">
      <x:c r="A15" s="21" t="str">
        <x:v>bond.buyable_quantity</x:v>
      </x:c>
      <x:c r="B15" s="21" t="str">
        <x:v>bond</x:v>
      </x:c>
      <x:c r="C15" s="21" t="str">
        <x:v>PRBD01N001</x:v>
      </x:c>
      <x:c r="D15" s="21" t="str">
        <x:v>BUYABLE_QUANTITY</x:v>
      </x:c>
      <x:c r="E15" s="26" t="str">
        <x:v>42394</x:v>
      </x:c>
      <x:c r="F15" s="26" t="str">
        <x:v>881</x:v>
      </x:c>
      <x:c r="G15" s="26" t="str">
        <x:v>OPEN</x:v>
      </x:c>
      <x:c r="H15" s="26" t="str">
        <x:v>42394</x:v>
      </x:c>
      <x:c r="I15" s="26" t="str">
        <x:v>881</x:v>
      </x:c>
      <x:c r="J15" s="26" t="str">
        <x:v>bond_positive_buyable</x:v>
      </x:c>
      <x:c r="K15" s="26" t="str">
        <x:v>325</x:v>
      </x:c>
      <x:c r="L15" s="26" t="str">
        <x:v>325</x:v>
      </x:c>
      <x:c r="M15" s="26" t="str">
        <x:v>325</x:v>
      </x:c>
      <x:c r="N15" s="21" t="str">
        <x:v>COUNT</x:v>
      </x:c>
      <x:c r="O15" s="21" t="str">
        <x:v>ZERO_UNKNOWN</x:v>
      </x:c>
      <x:c r="P15" s="21" t="str">
        <x:v>ALLOWED_POSITIVE_ONLY</x:v>
      </x:c>
      <x:c r="Q15" s="21" t="str">
        <x:v>BLOCKED</x:v>
      </x:c>
      <x:c r="R15" s="21" t="str">
        <x:v>OPEN</x:v>
      </x:c>
      <x:c r="S15" s="21" t="str">
        <x:v>556 zero and 325 positive</x:v>
      </x:c>
    </x:row>
    <x:row r="16">
      <x:c r="A16" s="21" t="str">
        <x:v>bond.remaining_days_raw</x:v>
      </x:c>
      <x:c r="B16" s="21" t="str">
        <x:v>bond</x:v>
      </x:c>
      <x:c r="C16" s="21" t="str">
        <x:v>PRBD01N001</x:v>
      </x:c>
      <x:c r="D16" s="21" t="str">
        <x:v>REMAINING_DAYS</x:v>
      </x:c>
      <x:c r="E16" s="26" t="str">
        <x:v>42394</x:v>
      </x:c>
      <x:c r="F16" s="26" t="str">
        <x:v>31749</x:v>
      </x:c>
      <x:c r="G16" s="26" t="str">
        <x:v>OPEN</x:v>
      </x:c>
      <x:c r="H16" s="26" t="str">
        <x:v>42394</x:v>
      </x:c>
      <x:c r="I16" s="26" t="str">
        <x:v>31749</x:v>
      </x:c>
      <x:c r="J16" s="26" t="str">
        <x:v>bond_with_value</x:v>
      </x:c>
      <x:c r="K16" s="26" t="str">
        <x:v>31749</x:v>
      </x:c>
      <x:c r="L16" s="26" t="str">
        <x:v>31749</x:v>
      </x:c>
      <x:c r="M16" s="26" t="str">
        <x:v>31749</x:v>
      </x:c>
      <x:c r="N16" s="21" t="str">
        <x:v>DAYS</x:v>
      </x:c>
      <x:c r="O16" s="21" t="str">
        <x:v>ZERO_UNKNOWN</x:v>
      </x:c>
      <x:c r="P16" s="21" t="str">
        <x:v>ALLOWED_WITH_FIELD_AS_OF</x:v>
      </x:c>
      <x:c r="Q16" s="21" t="str">
        <x:v>BLOCKED</x:v>
      </x:c>
      <x:c r="R16" s="21" t="str">
        <x:v>OPEN</x:v>
      </x:c>
      <x:c r="S16" s="21" t="str">
        <x:v>not remaining days at 2026-07-11</x:v>
      </x:c>
    </x:row>
    <x:row r="17">
      <x:c r="A17" s="21" t="str">
        <x:v>bond.duration</x:v>
      </x:c>
      <x:c r="B17" s="21" t="str">
        <x:v>bond</x:v>
      </x:c>
      <x:c r="C17" s="21" t="str">
        <x:v>PRBD01N001</x:v>
      </x:c>
      <x:c r="D17" s="21" t="str">
        <x:v>DUR</x:v>
      </x:c>
      <x:c r="E17" s="26" t="str">
        <x:v>42394</x:v>
      </x:c>
      <x:c r="F17" s="26" t="str">
        <x:v>29018</x:v>
      </x:c>
      <x:c r="G17" s="26" t="str">
        <x:v>OPEN</x:v>
      </x:c>
      <x:c r="H17" s="26" t="str">
        <x:v>42394</x:v>
      </x:c>
      <x:c r="I17" s="26" t="str">
        <x:v>29018</x:v>
      </x:c>
      <x:c r="J17" s="26" t="str">
        <x:v>bond_with_value</x:v>
      </x:c>
      <x:c r="K17" s="26" t="str">
        <x:v>29018</x:v>
      </x:c>
      <x:c r="L17" s="26" t="str">
        <x:v>29018</x:v>
      </x:c>
      <x:c r="M17" s="26" t="str">
        <x:v>29018</x:v>
      </x:c>
      <x:c r="N17" s="21" t="str">
        <x:v>YEARS_PENDING</x:v>
      </x:c>
      <x:c r="O17" s="21" t="str">
        <x:v>ZERO_UNKNOWN</x:v>
      </x:c>
      <x:c r="P17" s="21" t="str">
        <x:v>ALLOWED_WITH_COVERAGE</x:v>
      </x:c>
      <x:c r="Q17" s="21" t="str">
        <x:v>BLOCKED</x:v>
      </x:c>
      <x:c r="R17" s="21" t="str">
        <x:v>OPEN</x:v>
      </x:c>
      <x:c r="S17" s="21" t="str"/>
    </x:row>
    <x:row r="18">
      <x:c r="A18" s="21" t="str">
        <x:v>bond.convexity</x:v>
      </x:c>
      <x:c r="B18" s="21" t="str">
        <x:v>bond</x:v>
      </x:c>
      <x:c r="C18" s="21" t="str">
        <x:v>PRBD01N001</x:v>
      </x:c>
      <x:c r="D18" s="21" t="str">
        <x:v>COV</x:v>
      </x:c>
      <x:c r="E18" s="26" t="str">
        <x:v>42394</x:v>
      </x:c>
      <x:c r="F18" s="26" t="str">
        <x:v>29018</x:v>
      </x:c>
      <x:c r="G18" s="26" t="str">
        <x:v>OPEN</x:v>
      </x:c>
      <x:c r="H18" s="26" t="str">
        <x:v>42394</x:v>
      </x:c>
      <x:c r="I18" s="26" t="str">
        <x:v>29018</x:v>
      </x:c>
      <x:c r="J18" s="26" t="str">
        <x:v>bond_with_value</x:v>
      </x:c>
      <x:c r="K18" s="26" t="str">
        <x:v>29018</x:v>
      </x:c>
      <x:c r="L18" s="26" t="str">
        <x:v>29018</x:v>
      </x:c>
      <x:c r="M18" s="26" t="str">
        <x:v>0</x:v>
      </x:c>
      <x:c r="N18" s="21" t="str">
        <x:v>UNIT_PENDING</x:v>
      </x:c>
      <x:c r="O18" s="21" t="str">
        <x:v>ZERO_UNKNOWN</x:v>
      </x:c>
      <x:c r="P18" s="21" t="str">
        <x:v>BLOCKED_PENDING_UNIT</x:v>
      </x:c>
      <x:c r="Q18" s="21" t="str">
        <x:v>BLOCKED</x:v>
      </x:c>
      <x:c r="R18" s="21" t="str">
        <x:v>OPEN</x:v>
      </x:c>
      <x:c r="S18" s="21" t="str"/>
    </x:row>
    <x:row r="19">
      <x:c r="A19" s="21" t="str">
        <x:v>bond.evaluation_price</x:v>
      </x:c>
      <x:c r="B19" s="21" t="str">
        <x:v>bond</x:v>
      </x:c>
      <x:c r="C19" s="21" t="str">
        <x:v>PRBD01N001</x:v>
      </x:c>
      <x:c r="D19" s="21" t="str">
        <x:v>EVAL_PRICE</x:v>
      </x:c>
      <x:c r="E19" s="26" t="str">
        <x:v>42394</x:v>
      </x:c>
      <x:c r="F19" s="26" t="str">
        <x:v>31823</x:v>
      </x:c>
      <x:c r="G19" s="26" t="str">
        <x:v>OPEN</x:v>
      </x:c>
      <x:c r="H19" s="26" t="str">
        <x:v>42394</x:v>
      </x:c>
      <x:c r="I19" s="26" t="str">
        <x:v>31823</x:v>
      </x:c>
      <x:c r="J19" s="26" t="str">
        <x:v>bond_with_value</x:v>
      </x:c>
      <x:c r="K19" s="26" t="str">
        <x:v>31823</x:v>
      </x:c>
      <x:c r="L19" s="26" t="str">
        <x:v>31823</x:v>
      </x:c>
      <x:c r="M19" s="26" t="str">
        <x:v>31823</x:v>
      </x:c>
      <x:c r="N19" s="21" t="str">
        <x:v>PRICE_PENDING</x:v>
      </x:c>
      <x:c r="O19" s="21" t="str">
        <x:v>ZERO_UNKNOWN</x:v>
      </x:c>
      <x:c r="P19" s="21" t="str">
        <x:v>ALLOWED_WITH_COVERAGE_AND_DATE</x:v>
      </x:c>
      <x:c r="Q19" s="21" t="str">
        <x:v>BLOCKED</x:v>
      </x:c>
      <x:c r="R19" s="21" t="str">
        <x:v>OPEN</x:v>
      </x:c>
      <x:c r="S19" s="21" t="str">
        <x:v>not realtime</x:v>
      </x:c>
    </x:row>
    <x:row r="20">
      <x:c r="A20" s="21" t="str">
        <x:v>bond.applied_yield</x:v>
      </x:c>
      <x:c r="B20" s="21" t="str">
        <x:v>bond</x:v>
      </x:c>
      <x:c r="C20" s="21" t="str">
        <x:v>PRBD01N001</x:v>
      </x:c>
      <x:c r="D20" s="21" t="str">
        <x:v>APPLIED_YIELD</x:v>
      </x:c>
      <x:c r="E20" s="26" t="str">
        <x:v>42394</x:v>
      </x:c>
      <x:c r="F20" s="26" t="str">
        <x:v>31823</x:v>
      </x:c>
      <x:c r="G20" s="26" t="str">
        <x:v>OPEN</x:v>
      </x:c>
      <x:c r="H20" s="26" t="str">
        <x:v>42394</x:v>
      </x:c>
      <x:c r="I20" s="26" t="str">
        <x:v>31823</x:v>
      </x:c>
      <x:c r="J20" s="26" t="str">
        <x:v>bond_with_value</x:v>
      </x:c>
      <x:c r="K20" s="26" t="str">
        <x:v>31823</x:v>
      </x:c>
      <x:c r="L20" s="26" t="str">
        <x:v>31823</x:v>
      </x:c>
      <x:c r="M20" s="26" t="str">
        <x:v>OPEN</x:v>
      </x:c>
      <x:c r="N20" s="21" t="str">
        <x:v>PERCENTAGE_POINT_PENDING</x:v>
      </x:c>
      <x:c r="O20" s="21" t="str">
        <x:v>FIELD_POLICY_REQUIRED</x:v>
      </x:c>
      <x:c r="P20" s="21" t="str">
        <x:v>ALLOWED_WITH_OUTLIER_REVIEW</x:v>
      </x:c>
      <x:c r="Q20" s="21" t="str">
        <x:v>BLOCKED</x:v>
      </x:c>
      <x:c r="R20" s="21" t="str">
        <x:v>OPEN</x:v>
      </x:c>
      <x:c r="S20" s="21" t="str">
        <x:v>max 787.327 and exclusion threshold OPEN</x:v>
      </x:c>
    </x:row>
    <x:row r="21">
      <x:c r="A21" s="21" t="str">
        <x:v>domestic_etp.other_expense_ratio</x:v>
      </x:c>
      <x:c r="B21" s="21" t="str">
        <x:v>domestic_etp</x:v>
      </x:c>
      <x:c r="C21" s="21" t="str">
        <x:v>PREF01N001</x:v>
      </x:c>
      <x:c r="D21" s="21" t="str">
        <x:v>cu_charge_etc_rt</x:v>
      </x:c>
      <x:c r="E21" s="26" t="str">
        <x:v>1734</x:v>
      </x:c>
      <x:c r="F21" s="26" t="str">
        <x:v>1553</x:v>
      </x:c>
      <x:c r="G21" s="26" t="str">
        <x:v>0</x:v>
      </x:c>
      <x:c r="H21" s="26" t="str">
        <x:v>1733</x:v>
      </x:c>
      <x:c r="I21" s="26" t="str">
        <x:v>1553</x:v>
      </x:c>
      <x:c r="J21" s="26" t="str">
        <x:v>serving_etp</x:v>
      </x:c>
      <x:c r="K21" s="26" t="str">
        <x:v>1733</x:v>
      </x:c>
      <x:c r="L21" s="26" t="str">
        <x:v>1553</x:v>
      </x:c>
      <x:c r="M21" s="26" t="str">
        <x:v>0</x:v>
      </x:c>
      <x:c r="N21" s="21" t="str">
        <x:v>PERCENTAGE_POINT_PENDING</x:v>
      </x:c>
      <x:c r="O21" s="21" t="str">
        <x:v>UNUSABLE_CONSTANT</x:v>
      </x:c>
      <x:c r="P21" s="21" t="str">
        <x:v>BLOCKED_CONSTANT</x:v>
      </x:c>
      <x:c r="Q21" s="21" t="str">
        <x:v>BLOCKED</x:v>
      </x:c>
      <x:c r="R21" s="21" t="str">
        <x:v>LOCKED</x:v>
      </x:c>
      <x:c r="S21" s="21" t="str">
        <x:v>all present values zero</x:v>
      </x:c>
    </x:row>
    <x:row r="22">
      <x:c r="A22" s="21" t="str">
        <x:v>domestic_etp.base_index</x:v>
      </x:c>
      <x:c r="B22" s="21" t="str">
        <x:v>domestic_etp</x:v>
      </x:c>
      <x:c r="C22" s="21" t="str">
        <x:v>PREF01N001</x:v>
      </x:c>
      <x:c r="D22" s="21" t="str">
        <x:v>cu_base_index</x:v>
      </x:c>
      <x:c r="E22" s="26" t="str">
        <x:v>1734</x:v>
      </x:c>
      <x:c r="F22" s="26" t="str">
        <x:v>58</x:v>
      </x:c>
      <x:c r="G22" s="26" t="str">
        <x:v>58</x:v>
      </x:c>
      <x:c r="H22" s="26" t="str">
        <x:v>1733</x:v>
      </x:c>
      <x:c r="I22" s="26" t="str">
        <x:v>58</x:v>
      </x:c>
      <x:c r="J22" s="26" t="str">
        <x:v>serving_etp</x:v>
      </x:c>
      <x:c r="K22" s="26" t="str">
        <x:v>1733</x:v>
      </x:c>
      <x:c r="L22" s="26" t="str">
        <x:v>58</x:v>
      </x:c>
      <x:c r="M22" s="26" t="str">
        <x:v>0</x:v>
      </x:c>
      <x:c r="N22" s="21" t="str">
        <x:v>TEXT</x:v>
      </x:c>
      <x:c r="O22" s="21" t="str">
        <x:v>NOT_APPLICABLE</x:v>
      </x:c>
      <x:c r="P22" s="21" t="str">
        <x:v>BLOCKED_LOW_COVERAGE</x:v>
      </x:c>
      <x:c r="Q22" s="21" t="str">
        <x:v>BLOCKED</x:v>
      </x:c>
      <x:c r="R22" s="21" t="str">
        <x:v>LOCKED</x:v>
      </x:c>
      <x:c r="S22" s="21" t="str">
        <x:v>coverage 3.35 percent</x:v>
      </x:c>
    </x:row>
    <x:row r="23">
      <x:c r="A23" s="21" t="str">
        <x:v>domestic_etp.expense_ratio</x:v>
      </x:c>
      <x:c r="B23" s="21" t="str">
        <x:v>domestic_etp</x:v>
      </x:c>
      <x:c r="C23" s="21" t="str">
        <x:v>PREF01N001</x:v>
      </x:c>
      <x:c r="D23" s="21" t="str">
        <x:v>cu_charge_rt</x:v>
      </x:c>
      <x:c r="E23" s="26" t="str">
        <x:v>1734</x:v>
      </x:c>
      <x:c r="F23" s="26" t="str">
        <x:v>217</x:v>
      </x:c>
      <x:c r="G23" s="26" t="str">
        <x:v>OPEN</x:v>
      </x:c>
      <x:c r="H23" s="26" t="str">
        <x:v>1733</x:v>
      </x:c>
      <x:c r="I23" s="26" t="str">
        <x:v>217</x:v>
      </x:c>
      <x:c r="J23" s="26" t="str">
        <x:v>serving_etf</x:v>
      </x:c>
      <x:c r="K23" s="26" t="str">
        <x:v>1201</x:v>
      </x:c>
      <x:c r="L23" s="26" t="str">
        <x:v>217</x:v>
      </x:c>
      <x:c r="M23" s="26" t="str">
        <x:v>0</x:v>
      </x:c>
      <x:c r="N23" s="21" t="str">
        <x:v>PERCENTAGE_POINT_PENDING</x:v>
      </x:c>
      <x:c r="O23" s="21" t="str">
        <x:v>ZERO_UNKNOWN</x:v>
      </x:c>
      <x:c r="P23" s="21" t="str">
        <x:v>BLOCKED_PENDING_ZERO_POLICY</x:v>
      </x:c>
      <x:c r="Q23" s="21" t="str">
        <x:v>BLOCKED</x:v>
      </x:c>
      <x:c r="R23" s="21" t="str">
        <x:v>OPEN</x:v>
      </x:c>
      <x:c r="S23" s="21" t="str">
        <x:v>150 zeros and ETN has no values</x:v>
      </x:c>
    </x:row>
    <x:row r="24">
      <x:c r="A24" s="21" t="str">
        <x:v>domestic_etp.tracking_error</x:v>
      </x:c>
      <x:c r="B24" s="21" t="str">
        <x:v>domestic_etp</x:v>
      </x:c>
      <x:c r="C24" s="21" t="str">
        <x:v>PREF01N001</x:v>
      </x:c>
      <x:c r="D24" s="21" t="str">
        <x:v>du_chas_errt</x:v>
      </x:c>
      <x:c r="E24" s="26" t="str">
        <x:v>1734</x:v>
      </x:c>
      <x:c r="F24" s="26" t="str">
        <x:v>1551</x:v>
      </x:c>
      <x:c r="G24" s="26" t="str">
        <x:v>0</x:v>
      </x:c>
      <x:c r="H24" s="26" t="str">
        <x:v>1733</x:v>
      </x:c>
      <x:c r="I24" s="26" t="str">
        <x:v>1551</x:v>
      </x:c>
      <x:c r="J24" s="26" t="str">
        <x:v>serving_etp</x:v>
      </x:c>
      <x:c r="K24" s="26" t="str">
        <x:v>1733</x:v>
      </x:c>
      <x:c r="L24" s="26" t="str">
        <x:v>1551</x:v>
      </x:c>
      <x:c r="M24" s="26" t="str">
        <x:v>0</x:v>
      </x:c>
      <x:c r="N24" s="21" t="str">
        <x:v>PERCENTAGE_POINT_PENDING</x:v>
      </x:c>
      <x:c r="O24" s="21" t="str">
        <x:v>UNUSABLE_CONSTANT</x:v>
      </x:c>
      <x:c r="P24" s="21" t="str">
        <x:v>BLOCKED_CONSTANT</x:v>
      </x:c>
      <x:c r="Q24" s="21" t="str">
        <x:v>BLOCKED</x:v>
      </x:c>
      <x:c r="R24" s="21" t="str">
        <x:v>LOCKED</x:v>
      </x:c>
      <x:c r="S24" s="21" t="str">
        <x:v>all present values zero</x:v>
      </x:c>
    </x:row>
    <x:row r="25">
      <x:c r="A25" s="21" t="str">
        <x:v>domestic_etp.discrepancy_rate</x:v>
      </x:c>
      <x:c r="B25" s="21" t="str">
        <x:v>domestic_etp</x:v>
      </x:c>
      <x:c r="C25" s="21" t="str">
        <x:v>PREF01N001</x:v>
      </x:c>
      <x:c r="D25" s="21" t="str">
        <x:v>du_diff_rt</x:v>
      </x:c>
      <x:c r="E25" s="26" t="str">
        <x:v>1734</x:v>
      </x:c>
      <x:c r="F25" s="26" t="str">
        <x:v>1517</x:v>
      </x:c>
      <x:c r="G25" s="26" t="str">
        <x:v>0</x:v>
      </x:c>
      <x:c r="H25" s="26" t="str">
        <x:v>1733</x:v>
      </x:c>
      <x:c r="I25" s="26" t="str">
        <x:v>1517</x:v>
      </x:c>
      <x:c r="J25" s="26" t="str">
        <x:v>serving_etp</x:v>
      </x:c>
      <x:c r="K25" s="26" t="str">
        <x:v>1733</x:v>
      </x:c>
      <x:c r="L25" s="26" t="str">
        <x:v>1517</x:v>
      </x:c>
      <x:c r="M25" s="26" t="str">
        <x:v>0</x:v>
      </x:c>
      <x:c r="N25" s="21" t="str">
        <x:v>PERCENTAGE_POINT_PENDING</x:v>
      </x:c>
      <x:c r="O25" s="21" t="str">
        <x:v>UNUSABLE_CONSTANT</x:v>
      </x:c>
      <x:c r="P25" s="21" t="str">
        <x:v>BLOCKED_CONSTANT</x:v>
      </x:c>
      <x:c r="Q25" s="21" t="str">
        <x:v>BLOCKED</x:v>
      </x:c>
      <x:c r="R25" s="21" t="str">
        <x:v>LOCKED</x:v>
      </x:c>
      <x:c r="S25" s="21" t="str">
        <x:v>all present values zero</x:v>
      </x:c>
    </x:row>
    <x:row r="26">
      <x:c r="A26" s="21" t="str">
        <x:v>domestic_etp.return_1d</x:v>
      </x:c>
      <x:c r="B26" s="21" t="str">
        <x:v>domestic_etp</x:v>
      </x:c>
      <x:c r="C26" s="21" t="str">
        <x:v>PREF01N001</x:v>
      </x:c>
      <x:c r="D26" s="21" t="str">
        <x:v>du_er_1d</x:v>
      </x:c>
      <x:c r="E26" s="26" t="str">
        <x:v>1734</x:v>
      </x:c>
      <x:c r="F26" s="26" t="str">
        <x:v>1562</x:v>
      </x:c>
      <x:c r="G26" s="26" t="str">
        <x:v>OPEN</x:v>
      </x:c>
      <x:c r="H26" s="26" t="str">
        <x:v>1733</x:v>
      </x:c>
      <x:c r="I26" s="26" t="str">
        <x:v>1562</x:v>
      </x:c>
      <x:c r="J26" s="26" t="str">
        <x:v>serving_etf</x:v>
      </x:c>
      <x:c r="K26" s="26" t="str">
        <x:v>1201</x:v>
      </x:c>
      <x:c r="L26" s="26" t="str">
        <x:v>1148</x:v>
      </x:c>
      <x:c r="M26" s="26" t="str">
        <x:v>1148</x:v>
      </x:c>
      <x:c r="N26" s="21" t="str">
        <x:v>PERCENTAGE_POINT_PENDING</x:v>
      </x:c>
      <x:c r="O26" s="21" t="str">
        <x:v>ZERO_VALID_PENDING</x:v>
      </x:c>
      <x:c r="P26" s="21" t="str">
        <x:v>ALLOWED_WITH_COVERAGE</x:v>
      </x:c>
      <x:c r="Q26" s="21" t="str">
        <x:v>BLOCKED</x:v>
      </x:c>
      <x:c r="R26" s="21" t="str">
        <x:v>OPEN</x:v>
      </x:c>
      <x:c r="S26" s="21" t="str">
        <x:v>ETN present 414</x:v>
      </x:c>
    </x:row>
    <x:row r="27">
      <x:c r="A27" s="21" t="str">
        <x:v>domestic_etp.return_1m</x:v>
      </x:c>
      <x:c r="B27" s="21" t="str">
        <x:v>domestic_etp</x:v>
      </x:c>
      <x:c r="C27" s="21" t="str">
        <x:v>PREF01N001</x:v>
      </x:c>
      <x:c r="D27" s="21" t="str">
        <x:v>du_er_1m</x:v>
      </x:c>
      <x:c r="E27" s="26" t="str">
        <x:v>1734</x:v>
      </x:c>
      <x:c r="F27" s="26" t="str">
        <x:v>1540</x:v>
      </x:c>
      <x:c r="G27" s="26" t="str">
        <x:v>OPEN</x:v>
      </x:c>
      <x:c r="H27" s="26" t="str">
        <x:v>1733</x:v>
      </x:c>
      <x:c r="I27" s="26" t="str">
        <x:v>1540</x:v>
      </x:c>
      <x:c r="J27" s="26" t="str">
        <x:v>serving_etf</x:v>
      </x:c>
      <x:c r="K27" s="26" t="str">
        <x:v>1201</x:v>
      </x:c>
      <x:c r="L27" s="26" t="str">
        <x:v>1118</x:v>
      </x:c>
      <x:c r="M27" s="26" t="str">
        <x:v>OPEN</x:v>
      </x:c>
      <x:c r="N27" s="21" t="str">
        <x:v>PERCENTAGE_POINT_PENDING</x:v>
      </x:c>
      <x:c r="O27" s="21" t="str">
        <x:v>SENTINEL_MINUS_100_OPEN</x:v>
      </x:c>
      <x:c r="P27" s="21" t="str">
        <x:v>ALLOWED_WITH_OUTLIER_REVIEW</x:v>
      </x:c>
      <x:c r="Q27" s="21" t="str">
        <x:v>BLOCKED</x:v>
      </x:c>
      <x:c r="R27" s="21" t="str">
        <x:v>OPEN</x:v>
      </x:c>
      <x:c r="S27" s="21" t="str">
        <x:v>ETF has 3 values of minus100</x:v>
      </x:c>
    </x:row>
    <x:row r="28">
      <x:c r="A28" s="21" t="str">
        <x:v>domestic_etp.return_3m</x:v>
      </x:c>
      <x:c r="B28" s="21" t="str">
        <x:v>domestic_etp</x:v>
      </x:c>
      <x:c r="C28" s="21" t="str">
        <x:v>PREF01N001</x:v>
      </x:c>
      <x:c r="D28" s="21" t="str">
        <x:v>du_er_3m</x:v>
      </x:c>
      <x:c r="E28" s="26" t="str">
        <x:v>1734</x:v>
      </x:c>
      <x:c r="F28" s="26" t="str">
        <x:v>1505</x:v>
      </x:c>
      <x:c r="G28" s="26" t="str">
        <x:v>OPEN</x:v>
      </x:c>
      <x:c r="H28" s="26" t="str">
        <x:v>1733</x:v>
      </x:c>
      <x:c r="I28" s="26" t="str">
        <x:v>1505</x:v>
      </x:c>
      <x:c r="J28" s="26" t="str">
        <x:v>serving_etf</x:v>
      </x:c>
      <x:c r="K28" s="26" t="str">
        <x:v>1201</x:v>
      </x:c>
      <x:c r="L28" s="26" t="str">
        <x:v>1084</x:v>
      </x:c>
      <x:c r="M28" s="26" t="str">
        <x:v>OPEN</x:v>
      </x:c>
      <x:c r="N28" s="21" t="str">
        <x:v>PERCENTAGE_POINT_PENDING</x:v>
      </x:c>
      <x:c r="O28" s="21" t="str">
        <x:v>SENTINEL_MINUS_100_OPEN</x:v>
      </x:c>
      <x:c r="P28" s="21" t="str">
        <x:v>ALLOWED_WITH_OUTLIER_REVIEW</x:v>
      </x:c>
      <x:c r="Q28" s="21" t="str">
        <x:v>BLOCKED</x:v>
      </x:c>
      <x:c r="R28" s="21" t="str">
        <x:v>OPEN</x:v>
      </x:c>
      <x:c r="S28" s="21" t="str">
        <x:v>ETF has 7 values of minus100</x:v>
      </x:c>
    </x:row>
    <x:row r="29">
      <x:c r="A29" s="21" t="str">
        <x:v>domestic_etp.return_6m</x:v>
      </x:c>
      <x:c r="B29" s="21" t="str">
        <x:v>domestic_etp</x:v>
      </x:c>
      <x:c r="C29" s="21" t="str">
        <x:v>PREF01N001</x:v>
      </x:c>
      <x:c r="D29" s="21" t="str">
        <x:v>du_er_6m</x:v>
      </x:c>
      <x:c r="E29" s="26" t="str">
        <x:v>1734</x:v>
      </x:c>
      <x:c r="F29" s="26" t="str">
        <x:v>1476</x:v>
      </x:c>
      <x:c r="G29" s="26" t="str">
        <x:v>OPEN</x:v>
      </x:c>
      <x:c r="H29" s="26" t="str">
        <x:v>1733</x:v>
      </x:c>
      <x:c r="I29" s="26" t="str">
        <x:v>1476</x:v>
      </x:c>
      <x:c r="J29" s="26" t="str">
        <x:v>serving_etf</x:v>
      </x:c>
      <x:c r="K29" s="26" t="str">
        <x:v>1201</x:v>
      </x:c>
      <x:c r="L29" s="26" t="str">
        <x:v>1059</x:v>
      </x:c>
      <x:c r="M29" s="26" t="str">
        <x:v>OPEN</x:v>
      </x:c>
      <x:c r="N29" s="21" t="str">
        <x:v>PERCENTAGE_POINT_PENDING</x:v>
      </x:c>
      <x:c r="O29" s="21" t="str">
        <x:v>SENTINEL_MINUS_100_OPEN</x:v>
      </x:c>
      <x:c r="P29" s="21" t="str">
        <x:v>ALLOWED_WITH_OUTLIER_REVIEW</x:v>
      </x:c>
      <x:c r="Q29" s="21" t="str">
        <x:v>BLOCKED</x:v>
      </x:c>
      <x:c r="R29" s="21" t="str">
        <x:v>OPEN</x:v>
      </x:c>
      <x:c r="S29" s="21" t="str">
        <x:v>ETF has 11 values of minus100</x:v>
      </x:c>
    </x:row>
    <x:row r="30">
      <x:c r="A30" s="21" t="str">
        <x:v>domestic_etp.return_1y</x:v>
      </x:c>
      <x:c r="B30" s="21" t="str">
        <x:v>domestic_etp</x:v>
      </x:c>
      <x:c r="C30" s="21" t="str">
        <x:v>PREF01N001</x:v>
      </x:c>
      <x:c r="D30" s="21" t="str">
        <x:v>du_er_1y</x:v>
      </x:c>
      <x:c r="E30" s="26" t="str">
        <x:v>1734</x:v>
      </x:c>
      <x:c r="F30" s="26" t="str">
        <x:v>1377</x:v>
      </x:c>
      <x:c r="G30" s="26" t="str">
        <x:v>OPEN</x:v>
      </x:c>
      <x:c r="H30" s="26" t="str">
        <x:v>1733</x:v>
      </x:c>
      <x:c r="I30" s="26" t="str">
        <x:v>1377</x:v>
      </x:c>
      <x:c r="J30" s="26" t="str">
        <x:v>serving_etf</x:v>
      </x:c>
      <x:c r="K30" s="26" t="str">
        <x:v>1201</x:v>
      </x:c>
      <x:c r="L30" s="26" t="str">
        <x:v>986</x:v>
      </x:c>
      <x:c r="M30" s="26" t="str">
        <x:v>OPEN</x:v>
      </x:c>
      <x:c r="N30" s="21" t="str">
        <x:v>PERCENTAGE_POINT_PENDING</x:v>
      </x:c>
      <x:c r="O30" s="21" t="str">
        <x:v>SENTINEL_MINUS_100_OPEN</x:v>
      </x:c>
      <x:c r="P30" s="21" t="str">
        <x:v>ALLOWED_WITH_OUTLIER_REVIEW</x:v>
      </x:c>
      <x:c r="Q30" s="21" t="str">
        <x:v>BLOCKED</x:v>
      </x:c>
      <x:c r="R30" s="21" t="str">
        <x:v>OPEN</x:v>
      </x:c>
      <x:c r="S30" s="21" t="str">
        <x:v>ETF coverage 82.10 percent and 34 values of minus100</x:v>
      </x:c>
    </x:row>
    <x:row r="31">
      <x:c r="A31" s="21" t="str">
        <x:v>domestic_etp.return_ytd</x:v>
      </x:c>
      <x:c r="B31" s="21" t="str">
        <x:v>domestic_etp</x:v>
      </x:c>
      <x:c r="C31" s="21" t="str">
        <x:v>PREF01N001</x:v>
      </x:c>
      <x:c r="D31" s="21" t="str">
        <x:v>du_er_ytd</x:v>
      </x:c>
      <x:c r="E31" s="26" t="str">
        <x:v>1734</x:v>
      </x:c>
      <x:c r="F31" s="26" t="str">
        <x:v>1477</x:v>
      </x:c>
      <x:c r="G31" s="26" t="str">
        <x:v>OPEN</x:v>
      </x:c>
      <x:c r="H31" s="26" t="str">
        <x:v>1733</x:v>
      </x:c>
      <x:c r="I31" s="26" t="str">
        <x:v>1477</x:v>
      </x:c>
      <x:c r="J31" s="26" t="str">
        <x:v>serving_etf</x:v>
      </x:c>
      <x:c r="K31" s="26" t="str">
        <x:v>1201</x:v>
      </x:c>
      <x:c r="L31" s="26" t="str">
        <x:v>1066</x:v>
      </x:c>
      <x:c r="M31" s="26" t="str">
        <x:v>OPEN</x:v>
      </x:c>
      <x:c r="N31" s="21" t="str">
        <x:v>PERCENTAGE_POINT_PENDING</x:v>
      </x:c>
      <x:c r="O31" s="21" t="str">
        <x:v>SENTINEL_MINUS_100_OPEN</x:v>
      </x:c>
      <x:c r="P31" s="21" t="str">
        <x:v>ALLOWED_WITH_OUTLIER_REVIEW</x:v>
      </x:c>
      <x:c r="Q31" s="21" t="str">
        <x:v>BLOCKED</x:v>
      </x:c>
      <x:c r="R31" s="21" t="str">
        <x:v>OPEN</x:v>
      </x:c>
      <x:c r="S31" s="21" t="str">
        <x:v>ETF has 8 values of minus100 and same as-of required</x:v>
      </x:c>
    </x:row>
    <x:row r="32">
      <x:c r="A32" s="21" t="str">
        <x:v>domestic_etp.aum_last</x:v>
      </x:c>
      <x:c r="B32" s="21" t="str">
        <x:v>domestic_etp</x:v>
      </x:c>
      <x:c r="C32" s="21" t="str">
        <x:v>PREF01N001</x:v>
      </x:c>
      <x:c r="D32" s="21" t="str">
        <x:v>du_last_aum</x:v>
      </x:c>
      <x:c r="E32" s="26" t="str">
        <x:v>1734</x:v>
      </x:c>
      <x:c r="F32" s="26" t="str">
        <x:v>1453</x:v>
      </x:c>
      <x:c r="G32" s="26" t="str">
        <x:v>OPEN</x:v>
      </x:c>
      <x:c r="H32" s="26" t="str">
        <x:v>1733</x:v>
      </x:c>
      <x:c r="I32" s="26" t="str">
        <x:v>1453</x:v>
      </x:c>
      <x:c r="J32" s="26" t="str">
        <x:v>serving_etf</x:v>
      </x:c>
      <x:c r="K32" s="26" t="str">
        <x:v>1201</x:v>
      </x:c>
      <x:c r="L32" s="26" t="str">
        <x:v>1044</x:v>
      </x:c>
      <x:c r="M32" s="26" t="str">
        <x:v>OPEN</x:v>
      </x:c>
      <x:c r="N32" s="21" t="str">
        <x:v>KRW_PENDING</x:v>
      </x:c>
      <x:c r="O32" s="21" t="str">
        <x:v>ZERO_UNKNOWN</x:v>
      </x:c>
      <x:c r="P32" s="21" t="str">
        <x:v>TYPE_CONDITIONAL</x:v>
      </x:c>
      <x:c r="Q32" s="21" t="str">
        <x:v>BLOCKED</x:v>
      </x:c>
      <x:c r="R32" s="21" t="str">
        <x:v>OPEN</x:v>
      </x:c>
      <x:c r="S32" s="21" t="str">
        <x:v>ETF has 2 zeros and ETN 409 present values all zero</x:v>
      </x:c>
    </x:row>
    <x:row r="33">
      <x:c r="A33" s="21" t="str">
        <x:v>domestic_etp.nav_last</x:v>
      </x:c>
      <x:c r="B33" s="21" t="str">
        <x:v>domestic_etp</x:v>
      </x:c>
      <x:c r="C33" s="21" t="str">
        <x:v>PREF01N001</x:v>
      </x:c>
      <x:c r="D33" s="21" t="str">
        <x:v>du_last_nav</x:v>
      </x:c>
      <x:c r="E33" s="26" t="str">
        <x:v>1734</x:v>
      </x:c>
      <x:c r="F33" s="26" t="str">
        <x:v>1551</x:v>
      </x:c>
      <x:c r="G33" s="26" t="str">
        <x:v>1551</x:v>
      </x:c>
      <x:c r="H33" s="26" t="str">
        <x:v>1733</x:v>
      </x:c>
      <x:c r="I33" s="26" t="str">
        <x:v>1551</x:v>
      </x:c>
      <x:c r="J33" s="26" t="str">
        <x:v>serving_etf</x:v>
      </x:c>
      <x:c r="K33" s="26" t="str">
        <x:v>1201</x:v>
      </x:c>
      <x:c r="L33" s="26" t="str">
        <x:v>1142</x:v>
      </x:c>
      <x:c r="M33" s="26" t="str">
        <x:v>1142</x:v>
      </x:c>
      <x:c r="N33" s="21" t="str">
        <x:v>KRW_PRICE_PENDING</x:v>
      </x:c>
      <x:c r="O33" s="21" t="str">
        <x:v>FIELD_POLICY_REQUIRED</x:v>
      </x:c>
      <x:c r="P33" s="21" t="str">
        <x:v>ALLOWED_WITH_COVERAGE</x:v>
      </x:c>
      <x:c r="Q33" s="21" t="str">
        <x:v>BLOCKED</x:v>
      </x:c>
      <x:c r="R33" s="21" t="str">
        <x:v>OPEN</x:v>
      </x:c>
      <x:c r="S33" s="21" t="str"/>
    </x:row>
    <x:row r="34">
      <x:c r="A34" s="21" t="str">
        <x:v>domestic_etp.net_assets</x:v>
      </x:c>
      <x:c r="B34" s="21" t="str">
        <x:v>domestic_etp</x:v>
      </x:c>
      <x:c r="C34" s="21" t="str">
        <x:v>PREF01N001</x:v>
      </x:c>
      <x:c r="D34" s="21" t="str">
        <x:v>pd_net_tamt</x:v>
      </x:c>
      <x:c r="E34" s="26" t="str">
        <x:v>1734</x:v>
      </x:c>
      <x:c r="F34" s="26" t="str">
        <x:v>1551</x:v>
      </x:c>
      <x:c r="G34" s="26" t="str">
        <x:v>1551</x:v>
      </x:c>
      <x:c r="H34" s="26" t="str">
        <x:v>1733</x:v>
      </x:c>
      <x:c r="I34" s="26" t="str">
        <x:v>1551</x:v>
      </x:c>
      <x:c r="J34" s="26" t="str">
        <x:v>serving_etf</x:v>
      </x:c>
      <x:c r="K34" s="26" t="str">
        <x:v>1201</x:v>
      </x:c>
      <x:c r="L34" s="26" t="str">
        <x:v>1142</x:v>
      </x:c>
      <x:c r="M34" s="26" t="str">
        <x:v>1142</x:v>
      </x:c>
      <x:c r="N34" s="21" t="str">
        <x:v>KRW_PENDING</x:v>
      </x:c>
      <x:c r="O34" s="21" t="str">
        <x:v>FIELD_POLICY_REQUIRED</x:v>
      </x:c>
      <x:c r="P34" s="21" t="str">
        <x:v>ALLOWED_WITH_COVERAGE</x:v>
      </x:c>
      <x:c r="Q34" s="21" t="str">
        <x:v>BLOCKED</x:v>
      </x:c>
      <x:c r="R34" s="21" t="str">
        <x:v>OPEN</x:v>
      </x:c>
      <x:c r="S34" s="21" t="str">
        <x:v>AUM canonical priority OPEN</x:v>
      </x:c>
    </x:row>
    <x:row r="35">
      <x:c r="A35" s="21" t="str">
        <x:v>domestic_etp.close_price</x:v>
      </x:c>
      <x:c r="B35" s="21" t="str">
        <x:v>domestic_etp</x:v>
      </x:c>
      <x:c r="C35" s="21" t="str">
        <x:v>PREF01N001</x:v>
      </x:c>
      <x:c r="D35" s="21" t="str">
        <x:v>du_clpr</x:v>
      </x:c>
      <x:c r="E35" s="26" t="str">
        <x:v>1734</x:v>
      </x:c>
      <x:c r="F35" s="26" t="str">
        <x:v>1729</x:v>
      </x:c>
      <x:c r="G35" s="26" t="str">
        <x:v>OPEN</x:v>
      </x:c>
      <x:c r="H35" s="26" t="str">
        <x:v>1733</x:v>
      </x:c>
      <x:c r="I35" s="26" t="str">
        <x:v>1729</x:v>
      </x:c>
      <x:c r="J35" s="26" t="str">
        <x:v>serving_etf</x:v>
      </x:c>
      <x:c r="K35" s="26" t="str">
        <x:v>1201</x:v>
      </x:c>
      <x:c r="L35" s="26" t="str">
        <x:v>1198</x:v>
      </x:c>
      <x:c r="M35" s="26" t="str">
        <x:v>1198</x:v>
      </x:c>
      <x:c r="N35" s="21" t="str">
        <x:v>KRW_PRICE_PENDING</x:v>
      </x:c>
      <x:c r="O35" s="21" t="str">
        <x:v>ZERO_UNKNOWN</x:v>
      </x:c>
      <x:c r="P35" s="21" t="str">
        <x:v>ALLOWED_WITH_DATE</x:v>
      </x:c>
      <x:c r="Q35" s="21" t="str">
        <x:v>BLOCKED</x:v>
      </x:c>
      <x:c r="R35" s="21" t="str">
        <x:v>OPEN</x:v>
      </x:c>
      <x:c r="S35" s="21" t="str">
        <x:v>not realtime</x:v>
      </x:c>
    </x:row>
    <x:row r="36">
      <x:c r="A36" s="21" t="str">
        <x:v>domestic_etp.volume_1d</x:v>
      </x:c>
      <x:c r="B36" s="21" t="str">
        <x:v>domestic_etp</x:v>
      </x:c>
      <x:c r="C36" s="21" t="str">
        <x:v>PREF01N001</x:v>
      </x:c>
      <x:c r="D36" s="21" t="str">
        <x:v>du_vol_1d</x:v>
      </x:c>
      <x:c r="E36" s="26" t="str">
        <x:v>1734</x:v>
      </x:c>
      <x:c r="F36" s="26" t="str">
        <x:v>1729</x:v>
      </x:c>
      <x:c r="G36" s="26" t="str">
        <x:v>1729</x:v>
      </x:c>
      <x:c r="H36" s="26" t="str">
        <x:v>1733</x:v>
      </x:c>
      <x:c r="I36" s="26" t="str">
        <x:v>1729</x:v>
      </x:c>
      <x:c r="J36" s="26" t="str">
        <x:v>serving_etf</x:v>
      </x:c>
      <x:c r="K36" s="26" t="str">
        <x:v>1201</x:v>
      </x:c>
      <x:c r="L36" s="26" t="str">
        <x:v>1198</x:v>
      </x:c>
      <x:c r="M36" s="26" t="str">
        <x:v>1198</x:v>
      </x:c>
      <x:c r="N36" s="21" t="str">
        <x:v>COUNT</x:v>
      </x:c>
      <x:c r="O36" s="21" t="str">
        <x:v>ZERO_VALID_PENDING</x:v>
      </x:c>
      <x:c r="P36" s="21" t="str">
        <x:v>ALLOWED_WITH_DATE</x:v>
      </x:c>
      <x:c r="Q36" s="21" t="str">
        <x:v>BLOCKED</x:v>
      </x:c>
      <x:c r="R36" s="21" t="str">
        <x:v>OPEN</x:v>
      </x:c>
      <x:c r="S36" s="21" t="str"/>
    </x:row>
    <x:row r="37">
      <x:c r="A37" s="21" t="str">
        <x:v>overseas_etp.expense_ratio</x:v>
      </x:c>
      <x:c r="B37" s="21" t="str">
        <x:v>overseas_etp</x:v>
      </x:c>
      <x:c r="C37" s="21" t="str">
        <x:v>PREF02N001</x:v>
      </x:c>
      <x:c r="D37" s="21" t="str">
        <x:v>cu_charge_rt</x:v>
      </x:c>
      <x:c r="E37" s="26" t="str">
        <x:v>5646</x:v>
      </x:c>
      <x:c r="F37" s="26" t="str">
        <x:v>5646</x:v>
      </x:c>
      <x:c r="G37" s="26" t="str">
        <x:v>OPEN</x:v>
      </x:c>
      <x:c r="H37" s="26" t="str">
        <x:v>5638</x:v>
      </x:c>
      <x:c r="I37" s="26" t="str">
        <x:v>5638</x:v>
      </x:c>
      <x:c r="J37" s="26" t="str">
        <x:v>serving_etf</x:v>
      </x:c>
      <x:c r="K37" s="26" t="str">
        <x:v>5579</x:v>
      </x:c>
      <x:c r="L37" s="26" t="str">
        <x:v>5579</x:v>
      </x:c>
      <x:c r="M37" s="26" t="str">
        <x:v>0</x:v>
      </x:c>
      <x:c r="N37" s="21" t="str">
        <x:v>PERCENTAGE_POINT_PENDING</x:v>
      </x:c>
      <x:c r="O37" s="21" t="str">
        <x:v>ZERO_UNKNOWN</x:v>
      </x:c>
      <x:c r="P37" s="21" t="str">
        <x:v>BLOCKED_PENDING_ZERO_POLICY</x:v>
      </x:c>
      <x:c r="Q37" s="21" t="str">
        <x:v>BLOCKED</x:v>
      </x:c>
      <x:c r="R37" s="21" t="str">
        <x:v>OPEN</x:v>
      </x:c>
      <x:c r="S37" s="21" t="str">
        <x:v>serving ETF has 304 zeros and ETN has 51</x:v>
      </x:c>
    </x:row>
    <x:row r="38">
      <x:c r="A38" s="21" t="str">
        <x:v>overseas_etp.return_1d</x:v>
      </x:c>
      <x:c r="B38" s="21" t="str">
        <x:v>overseas_etp</x:v>
      </x:c>
      <x:c r="C38" s="21" t="str">
        <x:v>PREF02N001</x:v>
      </x:c>
      <x:c r="D38" s="21" t="str">
        <x:v>du_er_1d</x:v>
      </x:c>
      <x:c r="E38" s="26" t="str">
        <x:v>5646</x:v>
      </x:c>
      <x:c r="F38" s="26" t="str">
        <x:v>5388</x:v>
      </x:c>
      <x:c r="G38" s="26" t="str">
        <x:v>0</x:v>
      </x:c>
      <x:c r="H38" s="26" t="str">
        <x:v>5638</x:v>
      </x:c>
      <x:c r="I38" s="26" t="str">
        <x:v>5388</x:v>
      </x:c>
      <x:c r="J38" s="26" t="str">
        <x:v>serving_etf</x:v>
      </x:c>
      <x:c r="K38" s="26" t="str">
        <x:v>5579</x:v>
      </x:c>
      <x:c r="L38" s="26" t="str">
        <x:v>5329</x:v>
      </x:c>
      <x:c r="M38" s="26" t="str">
        <x:v>0</x:v>
      </x:c>
      <x:c r="N38" s="21" t="str">
        <x:v>PERCENTAGE_POINT_PENDING</x:v>
      </x:c>
      <x:c r="O38" s="21" t="str">
        <x:v>UNUSABLE_CONSTANT</x:v>
      </x:c>
      <x:c r="P38" s="21" t="str">
        <x:v>BLOCKED_CONSTANT</x:v>
      </x:c>
      <x:c r="Q38" s="21" t="str">
        <x:v>BLOCKED</x:v>
      </x:c>
      <x:c r="R38" s="21" t="str">
        <x:v>LOCKED</x:v>
      </x:c>
      <x:c r="S38" s="21" t="str">
        <x:v>all present values zero</x:v>
      </x:c>
    </x:row>
    <x:row r="39">
      <x:c r="A39" s="21" t="str">
        <x:v>overseas_etp.return_1m</x:v>
      </x:c>
      <x:c r="B39" s="21" t="str">
        <x:v>overseas_etp</x:v>
      </x:c>
      <x:c r="C39" s="21" t="str">
        <x:v>PREF02N001</x:v>
      </x:c>
      <x:c r="D39" s="21" t="str">
        <x:v>NONE</x:v>
      </x:c>
      <x:c r="E39" s="26" t="str">
        <x:v>5646</x:v>
      </x:c>
      <x:c r="F39" s="26" t="str">
        <x:v>0</x:v>
      </x:c>
      <x:c r="G39" s="26" t="str">
        <x:v>0</x:v>
      </x:c>
      <x:c r="H39" s="26" t="str">
        <x:v>5638</x:v>
      </x:c>
      <x:c r="I39" s="26" t="str">
        <x:v>0</x:v>
      </x:c>
      <x:c r="J39" s="26" t="str">
        <x:v>serving_etf</x:v>
      </x:c>
      <x:c r="K39" s="26" t="str">
        <x:v>5579</x:v>
      </x:c>
      <x:c r="L39" s="26" t="str">
        <x:v>0</x:v>
      </x:c>
      <x:c r="M39" s="26" t="str">
        <x:v>0</x:v>
      </x:c>
      <x:c r="N39" s="21" t="str">
        <x:v>UNAVAILABLE</x:v>
      </x:c>
      <x:c r="O39" s="21" t="str">
        <x:v>NOT_APPLICABLE</x:v>
      </x:c>
      <x:c r="P39" s="21" t="str">
        <x:v>UNAVAILABLE</x:v>
      </x:c>
      <x:c r="Q39" s="21" t="str">
        <x:v>BLOCKED</x:v>
      </x:c>
      <x:c r="R39" s="21" t="str">
        <x:v>LOCKED</x:v>
      </x:c>
      <x:c r="S39" s="21" t="str">
        <x:v>source field absent</x:v>
      </x:c>
    </x:row>
    <x:row r="40">
      <x:c r="A40" s="21" t="str">
        <x:v>overseas_etp.return_3m</x:v>
      </x:c>
      <x:c r="B40" s="21" t="str">
        <x:v>overseas_etp</x:v>
      </x:c>
      <x:c r="C40" s="21" t="str">
        <x:v>PREF02N001</x:v>
      </x:c>
      <x:c r="D40" s="21" t="str">
        <x:v>NONE</x:v>
      </x:c>
      <x:c r="E40" s="26" t="str">
        <x:v>5646</x:v>
      </x:c>
      <x:c r="F40" s="26" t="str">
        <x:v>0</x:v>
      </x:c>
      <x:c r="G40" s="26" t="str">
        <x:v>0</x:v>
      </x:c>
      <x:c r="H40" s="26" t="str">
        <x:v>5638</x:v>
      </x:c>
      <x:c r="I40" s="26" t="str">
        <x:v>0</x:v>
      </x:c>
      <x:c r="J40" s="26" t="str">
        <x:v>serving_etf</x:v>
      </x:c>
      <x:c r="K40" s="26" t="str">
        <x:v>5579</x:v>
      </x:c>
      <x:c r="L40" s="26" t="str">
        <x:v>0</x:v>
      </x:c>
      <x:c r="M40" s="26" t="str">
        <x:v>0</x:v>
      </x:c>
      <x:c r="N40" s="21" t="str">
        <x:v>UNAVAILABLE</x:v>
      </x:c>
      <x:c r="O40" s="21" t="str">
        <x:v>NOT_APPLICABLE</x:v>
      </x:c>
      <x:c r="P40" s="21" t="str">
        <x:v>UNAVAILABLE</x:v>
      </x:c>
      <x:c r="Q40" s="21" t="str">
        <x:v>BLOCKED</x:v>
      </x:c>
      <x:c r="R40" s="21" t="str">
        <x:v>LOCKED</x:v>
      </x:c>
      <x:c r="S40" s="21" t="str">
        <x:v>source field absent</x:v>
      </x:c>
    </x:row>
    <x:row r="41">
      <x:c r="A41" s="21" t="str">
        <x:v>overseas_etp.return_6m</x:v>
      </x:c>
      <x:c r="B41" s="21" t="str">
        <x:v>overseas_etp</x:v>
      </x:c>
      <x:c r="C41" s="21" t="str">
        <x:v>PREF02N001</x:v>
      </x:c>
      <x:c r="D41" s="21" t="str">
        <x:v>NONE</x:v>
      </x:c>
      <x:c r="E41" s="26" t="str">
        <x:v>5646</x:v>
      </x:c>
      <x:c r="F41" s="26" t="str">
        <x:v>0</x:v>
      </x:c>
      <x:c r="G41" s="26" t="str">
        <x:v>0</x:v>
      </x:c>
      <x:c r="H41" s="26" t="str">
        <x:v>5638</x:v>
      </x:c>
      <x:c r="I41" s="26" t="str">
        <x:v>0</x:v>
      </x:c>
      <x:c r="J41" s="26" t="str">
        <x:v>serving_etf</x:v>
      </x:c>
      <x:c r="K41" s="26" t="str">
        <x:v>5579</x:v>
      </x:c>
      <x:c r="L41" s="26" t="str">
        <x:v>0</x:v>
      </x:c>
      <x:c r="M41" s="26" t="str">
        <x:v>0</x:v>
      </x:c>
      <x:c r="N41" s="21" t="str">
        <x:v>UNAVAILABLE</x:v>
      </x:c>
      <x:c r="O41" s="21" t="str">
        <x:v>NOT_APPLICABLE</x:v>
      </x:c>
      <x:c r="P41" s="21" t="str">
        <x:v>UNAVAILABLE</x:v>
      </x:c>
      <x:c r="Q41" s="21" t="str">
        <x:v>BLOCKED</x:v>
      </x:c>
      <x:c r="R41" s="21" t="str">
        <x:v>LOCKED</x:v>
      </x:c>
      <x:c r="S41" s="21" t="str">
        <x:v>source field absent</x:v>
      </x:c>
    </x:row>
    <x:row r="42">
      <x:c r="A42" s="21" t="str">
        <x:v>overseas_etp.return_1y</x:v>
      </x:c>
      <x:c r="B42" s="21" t="str">
        <x:v>overseas_etp</x:v>
      </x:c>
      <x:c r="C42" s="21" t="str">
        <x:v>PREF02N001</x:v>
      </x:c>
      <x:c r="D42" s="21" t="str">
        <x:v>NONE</x:v>
      </x:c>
      <x:c r="E42" s="26" t="str">
        <x:v>5646</x:v>
      </x:c>
      <x:c r="F42" s="26" t="str">
        <x:v>0</x:v>
      </x:c>
      <x:c r="G42" s="26" t="str">
        <x:v>0</x:v>
      </x:c>
      <x:c r="H42" s="26" t="str">
        <x:v>5638</x:v>
      </x:c>
      <x:c r="I42" s="26" t="str">
        <x:v>0</x:v>
      </x:c>
      <x:c r="J42" s="26" t="str">
        <x:v>serving_etf</x:v>
      </x:c>
      <x:c r="K42" s="26" t="str">
        <x:v>5579</x:v>
      </x:c>
      <x:c r="L42" s="26" t="str">
        <x:v>0</x:v>
      </x:c>
      <x:c r="M42" s="26" t="str">
        <x:v>0</x:v>
      </x:c>
      <x:c r="N42" s="21" t="str">
        <x:v>UNAVAILABLE</x:v>
      </x:c>
      <x:c r="O42" s="21" t="str">
        <x:v>NOT_APPLICABLE</x:v>
      </x:c>
      <x:c r="P42" s="21" t="str">
        <x:v>UNAVAILABLE</x:v>
      </x:c>
      <x:c r="Q42" s="21" t="str">
        <x:v>BLOCKED</x:v>
      </x:c>
      <x:c r="R42" s="21" t="str">
        <x:v>LOCKED</x:v>
      </x:c>
      <x:c r="S42" s="21" t="str">
        <x:v>source field absent</x:v>
      </x:c>
    </x:row>
    <x:row r="43">
      <x:c r="A43" s="21" t="str">
        <x:v>overseas_etp.return_ytd</x:v>
      </x:c>
      <x:c r="B43" s="21" t="str">
        <x:v>overseas_etp</x:v>
      </x:c>
      <x:c r="C43" s="21" t="str">
        <x:v>PREF02N001</x:v>
      </x:c>
      <x:c r="D43" s="21" t="str">
        <x:v>NONE</x:v>
      </x:c>
      <x:c r="E43" s="26" t="str">
        <x:v>5646</x:v>
      </x:c>
      <x:c r="F43" s="26" t="str">
        <x:v>0</x:v>
      </x:c>
      <x:c r="G43" s="26" t="str">
        <x:v>0</x:v>
      </x:c>
      <x:c r="H43" s="26" t="str">
        <x:v>5638</x:v>
      </x:c>
      <x:c r="I43" s="26" t="str">
        <x:v>0</x:v>
      </x:c>
      <x:c r="J43" s="26" t="str">
        <x:v>serving_etf</x:v>
      </x:c>
      <x:c r="K43" s="26" t="str">
        <x:v>5579</x:v>
      </x:c>
      <x:c r="L43" s="26" t="str">
        <x:v>0</x:v>
      </x:c>
      <x:c r="M43" s="26" t="str">
        <x:v>0</x:v>
      </x:c>
      <x:c r="N43" s="21" t="str">
        <x:v>UNAVAILABLE</x:v>
      </x:c>
      <x:c r="O43" s="21" t="str">
        <x:v>NOT_APPLICABLE</x:v>
      </x:c>
      <x:c r="P43" s="21" t="str">
        <x:v>UNAVAILABLE</x:v>
      </x:c>
      <x:c r="Q43" s="21" t="str">
        <x:v>BLOCKED</x:v>
      </x:c>
      <x:c r="R43" s="21" t="str">
        <x:v>LOCKED</x:v>
      </x:c>
      <x:c r="S43" s="21" t="str">
        <x:v>source field absent</x:v>
      </x:c>
    </x:row>
    <x:row r="44">
      <x:c r="A44" s="21" t="str">
        <x:v>overseas_etp.aum_last</x:v>
      </x:c>
      <x:c r="B44" s="21" t="str">
        <x:v>overseas_etp</x:v>
      </x:c>
      <x:c r="C44" s="21" t="str">
        <x:v>PREF02N001</x:v>
      </x:c>
      <x:c r="D44" s="21" t="str">
        <x:v>du_last_aum</x:v>
      </x:c>
      <x:c r="E44" s="26" t="str">
        <x:v>5646</x:v>
      </x:c>
      <x:c r="F44" s="26" t="str">
        <x:v>5459</x:v>
      </x:c>
      <x:c r="G44" s="26" t="str">
        <x:v>OPEN</x:v>
      </x:c>
      <x:c r="H44" s="26" t="str">
        <x:v>5638</x:v>
      </x:c>
      <x:c r="I44" s="26" t="str">
        <x:v>5451</x:v>
      </x:c>
      <x:c r="J44" s="26" t="str">
        <x:v>serving_etf</x:v>
      </x:c>
      <x:c r="K44" s="26" t="str">
        <x:v>5579</x:v>
      </x:c>
      <x:c r="L44" s="26" t="str">
        <x:v>5395</x:v>
      </x:c>
      <x:c r="M44" s="26" t="str">
        <x:v>5395</x:v>
      </x:c>
      <x:c r="N44" s="21" t="str">
        <x:v>CURRENCY_CONTEXT_REQUIRED</x:v>
      </x:c>
      <x:c r="O44" s="21" t="str">
        <x:v>ZERO_UNKNOWN</x:v>
      </x:c>
      <x:c r="P44" s="21" t="str">
        <x:v>ALLOWED_WITH_CURRENCY</x:v>
      </x:c>
      <x:c r="Q44" s="21" t="str">
        <x:v>BLOCKED</x:v>
      </x:c>
      <x:c r="R44" s="21" t="str">
        <x:v>OPEN</x:v>
      </x:c>
      <x:c r="S44" s="21" t="str">
        <x:v>no zero remains in serving and no cross currency rank</x:v>
      </x:c>
    </x:row>
    <x:row r="45">
      <x:c r="A45" s="21" t="str">
        <x:v>overseas_etp.nav_last</x:v>
      </x:c>
      <x:c r="B45" s="21" t="str">
        <x:v>overseas_etp</x:v>
      </x:c>
      <x:c r="C45" s="21" t="str">
        <x:v>PREF02N001</x:v>
      </x:c>
      <x:c r="D45" s="21" t="str">
        <x:v>du_last_nav</x:v>
      </x:c>
      <x:c r="E45" s="26" t="str">
        <x:v>5646</x:v>
      </x:c>
      <x:c r="F45" s="26" t="str">
        <x:v>682</x:v>
      </x:c>
      <x:c r="G45" s="26" t="str">
        <x:v>682</x:v>
      </x:c>
      <x:c r="H45" s="26" t="str">
        <x:v>5638</x:v>
      </x:c>
      <x:c r="I45" s="26" t="str">
        <x:v>682</x:v>
      </x:c>
      <x:c r="J45" s="26" t="str">
        <x:v>serving_etf</x:v>
      </x:c>
      <x:c r="K45" s="26" t="str">
        <x:v>5579</x:v>
      </x:c>
      <x:c r="L45" s="26" t="str">
        <x:v>654</x:v>
      </x:c>
      <x:c r="M45" s="26" t="str">
        <x:v>654</x:v>
      </x:c>
      <x:c r="N45" s="21" t="str">
        <x:v>PRODUCT_CURRENCY_PENDING</x:v>
      </x:c>
      <x:c r="O45" s="21" t="str">
        <x:v>FIELD_POLICY_REQUIRED</x:v>
      </x:c>
      <x:c r="P45" s="21" t="str">
        <x:v>ALLOWED_WITH_COVERAGE</x:v>
      </x:c>
      <x:c r="Q45" s="21" t="str">
        <x:v>BLOCKED</x:v>
      </x:c>
      <x:c r="R45" s="21" t="str">
        <x:v>OPEN</x:v>
      </x:c>
      <x:c r="S45" s="21" t="str"/>
    </x:row>
    <x:row r="46">
      <x:c r="A46" s="21" t="str">
        <x:v>overseas_etp.discrepancy_rate</x:v>
      </x:c>
      <x:c r="B46" s="21" t="str">
        <x:v>overseas_etp</x:v>
      </x:c>
      <x:c r="C46" s="21" t="str">
        <x:v>PREF02N001</x:v>
      </x:c>
      <x:c r="D46" s="21" t="str">
        <x:v>du_diff_rt</x:v>
      </x:c>
      <x:c r="E46" s="26" t="str">
        <x:v>5646</x:v>
      </x:c>
      <x:c r="F46" s="26" t="str">
        <x:v>3</x:v>
      </x:c>
      <x:c r="G46" s="26" t="str">
        <x:v>3</x:v>
      </x:c>
      <x:c r="H46" s="26" t="str">
        <x:v>5638</x:v>
      </x:c>
      <x:c r="I46" s="26" t="str">
        <x:v>3</x:v>
      </x:c>
      <x:c r="J46" s="26" t="str">
        <x:v>serving_etf</x:v>
      </x:c>
      <x:c r="K46" s="26" t="str">
        <x:v>5579</x:v>
      </x:c>
      <x:c r="L46" s="26" t="str">
        <x:v>3</x:v>
      </x:c>
      <x:c r="M46" s="26" t="str">
        <x:v>0</x:v>
      </x:c>
      <x:c r="N46" s="21" t="str">
        <x:v>PERCENTAGE_POINT_PENDING</x:v>
      </x:c>
      <x:c r="O46" s="21" t="str">
        <x:v>ZERO_UNKNOWN</x:v>
      </x:c>
      <x:c r="P46" s="21" t="str">
        <x:v>BLOCKED_LOW_COVERAGE</x:v>
      </x:c>
      <x:c r="Q46" s="21" t="str">
        <x:v>BLOCKED</x:v>
      </x:c>
      <x:c r="R46" s="21" t="str">
        <x:v>LOCKED</x:v>
      </x:c>
      <x:c r="S46" s="21" t="str">
        <x:v>coverage 0.05 percent</x:v>
      </x:c>
    </x:row>
    <x:row r="47">
      <x:c r="A47" s="21" t="str">
        <x:v>overseas_etp.close_price</x:v>
      </x:c>
      <x:c r="B47" s="21" t="str">
        <x:v>overseas_etp</x:v>
      </x:c>
      <x:c r="C47" s="21" t="str">
        <x:v>PREF02N001</x:v>
      </x:c>
      <x:c r="D47" s="21" t="str">
        <x:v>du_clpr</x:v>
      </x:c>
      <x:c r="E47" s="26" t="str">
        <x:v>5646</x:v>
      </x:c>
      <x:c r="F47" s="26" t="str">
        <x:v>5636</x:v>
      </x:c>
      <x:c r="G47" s="26" t="str">
        <x:v>5636</x:v>
      </x:c>
      <x:c r="H47" s="26" t="str">
        <x:v>5638</x:v>
      </x:c>
      <x:c r="I47" s="26" t="str">
        <x:v>5636</x:v>
      </x:c>
      <x:c r="J47" s="26" t="str">
        <x:v>serving_etf</x:v>
      </x:c>
      <x:c r="K47" s="26" t="str">
        <x:v>5579</x:v>
      </x:c>
      <x:c r="L47" s="26" t="str">
        <x:v>5577</x:v>
      </x:c>
      <x:c r="M47" s="26" t="str">
        <x:v>5577</x:v>
      </x:c>
      <x:c r="N47" s="21" t="str">
        <x:v>TRADING_CURRENCY</x:v>
      </x:c>
      <x:c r="O47" s="21" t="str">
        <x:v>FIELD_POLICY_REQUIRED</x:v>
      </x:c>
      <x:c r="P47" s="21" t="str">
        <x:v>ALLOWED_WITH_OUTLIER_REVIEW</x:v>
      </x:c>
      <x:c r="Q47" s="21" t="str">
        <x:v>BLOCKED</x:v>
      </x:c>
      <x:c r="R47" s="21" t="str">
        <x:v>OPEN</x:v>
      </x:c>
      <x:c r="S47" s="21" t="str">
        <x:v>not realtime; source scale/decimal rule requires briefing confirmation because extreme values are preserved</x:v>
      </x:c>
    </x:row>
    <x:row r="48">
      <x:c r="A48" s="21" t="str">
        <x:v>overseas_etp.volume_1d</x:v>
      </x:c>
      <x:c r="B48" s="21" t="str">
        <x:v>overseas_etp</x:v>
      </x:c>
      <x:c r="C48" s="21" t="str">
        <x:v>PREF02N001</x:v>
      </x:c>
      <x:c r="D48" s="21" t="str">
        <x:v>du_vol_1d</x:v>
      </x:c>
      <x:c r="E48" s="26" t="str">
        <x:v>5646</x:v>
      </x:c>
      <x:c r="F48" s="26" t="str">
        <x:v>5636</x:v>
      </x:c>
      <x:c r="G48" s="26" t="str">
        <x:v>5636</x:v>
      </x:c>
      <x:c r="H48" s="26" t="str">
        <x:v>5638</x:v>
      </x:c>
      <x:c r="I48" s="26" t="str">
        <x:v>5636</x:v>
      </x:c>
      <x:c r="J48" s="26" t="str">
        <x:v>serving_etf</x:v>
      </x:c>
      <x:c r="K48" s="26" t="str">
        <x:v>5579</x:v>
      </x:c>
      <x:c r="L48" s="26" t="str">
        <x:v>5577</x:v>
      </x:c>
      <x:c r="M48" s="26" t="str">
        <x:v>5577</x:v>
      </x:c>
      <x:c r="N48" s="21" t="str">
        <x:v>COUNT</x:v>
      </x:c>
      <x:c r="O48" s="21" t="str">
        <x:v>ZERO_VALID_PENDING</x:v>
      </x:c>
      <x:c r="P48" s="21" t="str">
        <x:v>ALLOWED_WITH_DATE</x:v>
      </x:c>
      <x:c r="Q48" s="21" t="str">
        <x:v>BLOCKED</x:v>
      </x:c>
      <x:c r="R48" s="21" t="str">
        <x:v>OPEN</x:v>
      </x:c>
      <x:c r="S48" s="21" t="str"/>
    </x:row>
    <x:row r="49">
      <x:c r="A49" s="21" t="str">
        <x:v>fund.net_assets</x:v>
      </x:c>
      <x:c r="B49" s="21" t="str">
        <x:v>fund</x:v>
      </x:c>
      <x:c r="C49" s="21" t="str">
        <x:v>PRFD01N001</x:v>
      </x:c>
      <x:c r="D49" s="21" t="str">
        <x:v>fd_nast_suma</x:v>
      </x:c>
      <x:c r="E49" s="26" t="str">
        <x:v>11139</x:v>
      </x:c>
      <x:c r="F49" s="26" t="str">
        <x:v>9290</x:v>
      </x:c>
      <x:c r="G49" s="26" t="str">
        <x:v>OPEN</x:v>
      </x:c>
      <x:c r="H49" s="26" t="str">
        <x:v>11138</x:v>
      </x:c>
      <x:c r="I49" s="26" t="str">
        <x:v>9290</x:v>
      </x:c>
      <x:c r="J49" s="26" t="str">
        <x:v>fund_normal_product</x:v>
      </x:c>
      <x:c r="K49" s="26" t="str">
        <x:v>11138</x:v>
      </x:c>
      <x:c r="L49" s="26" t="str">
        <x:v>9290</x:v>
      </x:c>
      <x:c r="M49" s="26" t="str">
        <x:v>OPEN</x:v>
      </x:c>
      <x:c r="N49" s="21" t="str">
        <x:v>KRW_PENDING</x:v>
      </x:c>
      <x:c r="O49" s="21" t="str">
        <x:v>ZERO_UNKNOWN</x:v>
      </x:c>
      <x:c r="P49" s="21" t="str">
        <x:v>ALLOWED_WITH_COVERAGE</x:v>
      </x:c>
      <x:c r="Q49" s="21" t="str">
        <x:v>BLOCKED</x:v>
      </x:c>
      <x:c r="R49" s="21" t="str">
        <x:v>OPEN</x:v>
      </x:c>
      <x:c r="S49" s="21" t="str">
        <x:v>298 zeros and product-level dedupe</x:v>
      </x:c>
    </x:row>
    <x:row r="50">
      <x:c r="A50" s="21" t="str">
        <x:v>fund.return_1w</x:v>
      </x:c>
      <x:c r="B50" s="21" t="str">
        <x:v>fund</x:v>
      </x:c>
      <x:c r="C50" s="21" t="str">
        <x:v>PRFD01N001</x:v>
      </x:c>
      <x:c r="D50" s="21" t="str">
        <x:v>fd_wk1_ern_r</x:v>
      </x:c>
      <x:c r="E50" s="26" t="str">
        <x:v>11139</x:v>
      </x:c>
      <x:c r="F50" s="26" t="str">
        <x:v>7600</x:v>
      </x:c>
      <x:c r="G50" s="26" t="str">
        <x:v>OPEN</x:v>
      </x:c>
      <x:c r="H50" s="26" t="str">
        <x:v>11138</x:v>
      </x:c>
      <x:c r="I50" s="26" t="str">
        <x:v>7600</x:v>
      </x:c>
      <x:c r="J50" s="26" t="str">
        <x:v>fund_normal_product</x:v>
      </x:c>
      <x:c r="K50" s="26" t="str">
        <x:v>11138</x:v>
      </x:c>
      <x:c r="L50" s="26" t="str">
        <x:v>7600</x:v>
      </x:c>
      <x:c r="M50" s="26" t="str">
        <x:v>7600</x:v>
      </x:c>
      <x:c r="N50" s="21" t="str">
        <x:v>PERCENTAGE_POINT_PENDING</x:v>
      </x:c>
      <x:c r="O50" s="21" t="str">
        <x:v>ZERO_VALID_PENDING</x:v>
      </x:c>
      <x:c r="P50" s="21" t="str">
        <x:v>ALLOWED_WITH_COVERAGE</x:v>
      </x:c>
      <x:c r="Q50" s="21" t="str">
        <x:v>BLOCKED</x:v>
      </x:c>
      <x:c r="R50" s="21" t="str">
        <x:v>OPEN</x:v>
      </x:c>
      <x:c r="S50" s="21" t="str"/>
    </x:row>
    <x:row r="51">
      <x:c r="A51" s="21" t="str">
        <x:v>fund.return_1m</x:v>
      </x:c>
      <x:c r="B51" s="21" t="str">
        <x:v>fund</x:v>
      </x:c>
      <x:c r="C51" s="21" t="str">
        <x:v>PRFD01N001</x:v>
      </x:c>
      <x:c r="D51" s="21" t="str">
        <x:v>fd_mm1_ern_r</x:v>
      </x:c>
      <x:c r="E51" s="26" t="str">
        <x:v>11139</x:v>
      </x:c>
      <x:c r="F51" s="26" t="str">
        <x:v>7570</x:v>
      </x:c>
      <x:c r="G51" s="26" t="str">
        <x:v>OPEN</x:v>
      </x:c>
      <x:c r="H51" s="26" t="str">
        <x:v>11138</x:v>
      </x:c>
      <x:c r="I51" s="26" t="str">
        <x:v>7570</x:v>
      </x:c>
      <x:c r="J51" s="26" t="str">
        <x:v>fund_normal_product</x:v>
      </x:c>
      <x:c r="K51" s="26" t="str">
        <x:v>11138</x:v>
      </x:c>
      <x:c r="L51" s="26" t="str">
        <x:v>7570</x:v>
      </x:c>
      <x:c r="M51" s="26" t="str">
        <x:v>7570</x:v>
      </x:c>
      <x:c r="N51" s="21" t="str">
        <x:v>PERCENTAGE_POINT_PENDING</x:v>
      </x:c>
      <x:c r="O51" s="21" t="str">
        <x:v>ZERO_VALID_PENDING</x:v>
      </x:c>
      <x:c r="P51" s="21" t="str">
        <x:v>ALLOWED_WITH_COVERAGE</x:v>
      </x:c>
      <x:c r="Q51" s="21" t="str">
        <x:v>BLOCKED</x:v>
      </x:c>
      <x:c r="R51" s="21" t="str">
        <x:v>OPEN</x:v>
      </x:c>
      <x:c r="S51" s="21" t="str"/>
    </x:row>
    <x:row r="52">
      <x:c r="A52" s="21" t="str">
        <x:v>fund.return_3m</x:v>
      </x:c>
      <x:c r="B52" s="21" t="str">
        <x:v>fund</x:v>
      </x:c>
      <x:c r="C52" s="21" t="str">
        <x:v>PRFD01N001</x:v>
      </x:c>
      <x:c r="D52" s="21" t="str">
        <x:v>fd_mm3_ern_r</x:v>
      </x:c>
      <x:c r="E52" s="26" t="str">
        <x:v>11139</x:v>
      </x:c>
      <x:c r="F52" s="26" t="str">
        <x:v>7497</x:v>
      </x:c>
      <x:c r="G52" s="26" t="str">
        <x:v>OPEN</x:v>
      </x:c>
      <x:c r="H52" s="26" t="str">
        <x:v>11138</x:v>
      </x:c>
      <x:c r="I52" s="26" t="str">
        <x:v>7497</x:v>
      </x:c>
      <x:c r="J52" s="26" t="str">
        <x:v>fund_normal_product</x:v>
      </x:c>
      <x:c r="K52" s="26" t="str">
        <x:v>11138</x:v>
      </x:c>
      <x:c r="L52" s="26" t="str">
        <x:v>7497</x:v>
      </x:c>
      <x:c r="M52" s="26" t="str">
        <x:v>7497</x:v>
      </x:c>
      <x:c r="N52" s="21" t="str">
        <x:v>PERCENTAGE_POINT_PENDING</x:v>
      </x:c>
      <x:c r="O52" s="21" t="str">
        <x:v>ZERO_VALID_PENDING</x:v>
      </x:c>
      <x:c r="P52" s="21" t="str">
        <x:v>ALLOWED_WITH_COVERAGE</x:v>
      </x:c>
      <x:c r="Q52" s="21" t="str">
        <x:v>BLOCKED</x:v>
      </x:c>
      <x:c r="R52" s="21" t="str">
        <x:v>OPEN</x:v>
      </x:c>
      <x:c r="S52" s="21" t="str"/>
    </x:row>
    <x:row r="53">
      <x:c r="A53" s="21" t="str">
        <x:v>fund.return_6m</x:v>
      </x:c>
      <x:c r="B53" s="21" t="str">
        <x:v>fund</x:v>
      </x:c>
      <x:c r="C53" s="21" t="str">
        <x:v>PRFD01N001</x:v>
      </x:c>
      <x:c r="D53" s="21" t="str">
        <x:v>fd_mm6_ern_r</x:v>
      </x:c>
      <x:c r="E53" s="26" t="str">
        <x:v>11139</x:v>
      </x:c>
      <x:c r="F53" s="26" t="str">
        <x:v>7340</x:v>
      </x:c>
      <x:c r="G53" s="26" t="str">
        <x:v>OPEN</x:v>
      </x:c>
      <x:c r="H53" s="26" t="str">
        <x:v>11138</x:v>
      </x:c>
      <x:c r="I53" s="26" t="str">
        <x:v>7340</x:v>
      </x:c>
      <x:c r="J53" s="26" t="str">
        <x:v>fund_normal_product</x:v>
      </x:c>
      <x:c r="K53" s="26" t="str">
        <x:v>11138</x:v>
      </x:c>
      <x:c r="L53" s="26" t="str">
        <x:v>7340</x:v>
      </x:c>
      <x:c r="M53" s="26" t="str">
        <x:v>7340</x:v>
      </x:c>
      <x:c r="N53" s="21" t="str">
        <x:v>PERCENTAGE_POINT_PENDING</x:v>
      </x:c>
      <x:c r="O53" s="21" t="str">
        <x:v>ZERO_VALID_PENDING</x:v>
      </x:c>
      <x:c r="P53" s="21" t="str">
        <x:v>ALLOWED_WITH_COVERAGE</x:v>
      </x:c>
      <x:c r="Q53" s="21" t="str">
        <x:v>BLOCKED</x:v>
      </x:c>
      <x:c r="R53" s="21" t="str">
        <x:v>OPEN</x:v>
      </x:c>
      <x:c r="S53" s="21" t="str"/>
    </x:row>
    <x:row r="54">
      <x:c r="A54" s="21" t="str">
        <x:v>fund.return_18m</x:v>
      </x:c>
      <x:c r="B54" s="21" t="str">
        <x:v>fund</x:v>
      </x:c>
      <x:c r="C54" s="21" t="str">
        <x:v>PRFD01N001</x:v>
      </x:c>
      <x:c r="D54" s="21" t="str">
        <x:v>fd_mm18_ern_r</x:v>
      </x:c>
      <x:c r="E54" s="26" t="str">
        <x:v>11139</x:v>
      </x:c>
      <x:c r="F54" s="26" t="str">
        <x:v>6879</x:v>
      </x:c>
      <x:c r="G54" s="26" t="str">
        <x:v>OPEN</x:v>
      </x:c>
      <x:c r="H54" s="26" t="str">
        <x:v>11138</x:v>
      </x:c>
      <x:c r="I54" s="26" t="str">
        <x:v>6879</x:v>
      </x:c>
      <x:c r="J54" s="26" t="str">
        <x:v>fund_normal_product</x:v>
      </x:c>
      <x:c r="K54" s="26" t="str">
        <x:v>11138</x:v>
      </x:c>
      <x:c r="L54" s="26" t="str">
        <x:v>6879</x:v>
      </x:c>
      <x:c r="M54" s="26" t="str">
        <x:v>OPEN</x:v>
      </x:c>
      <x:c r="N54" s="21" t="str">
        <x:v>PERCENTAGE_POINT_PENDING</x:v>
      </x:c>
      <x:c r="O54" s="21" t="str">
        <x:v>ZERO_VALID_PENDING</x:v>
      </x:c>
      <x:c r="P54" s="21" t="str">
        <x:v>ALLOWED_WITH_OUTLIER_REVIEW</x:v>
      </x:c>
      <x:c r="Q54" s="21" t="str">
        <x:v>BLOCKED</x:v>
      </x:c>
      <x:c r="R54" s="21" t="str">
        <x:v>OPEN</x:v>
      </x:c>
      <x:c r="S54" s="21" t="str">
        <x:v>min minus3593.02 and threshold OPEN</x:v>
      </x:c>
    </x:row>
    <x:row r="55">
      <x:c r="A55" s="21" t="str">
        <x:v>fund.return_1y</x:v>
      </x:c>
      <x:c r="B55" s="21" t="str">
        <x:v>fund</x:v>
      </x:c>
      <x:c r="C55" s="21" t="str">
        <x:v>PRFD01N001</x:v>
      </x:c>
      <x:c r="D55" s="21" t="str">
        <x:v>fd_yr1_ern_r</x:v>
      </x:c>
      <x:c r="E55" s="26" t="str">
        <x:v>11139</x:v>
      </x:c>
      <x:c r="F55" s="26" t="str">
        <x:v>7017</x:v>
      </x:c>
      <x:c r="G55" s="26" t="str">
        <x:v>OPEN</x:v>
      </x:c>
      <x:c r="H55" s="26" t="str">
        <x:v>11138</x:v>
      </x:c>
      <x:c r="I55" s="26" t="str">
        <x:v>7017</x:v>
      </x:c>
      <x:c r="J55" s="26" t="str">
        <x:v>fund_normal_product</x:v>
      </x:c>
      <x:c r="K55" s="26" t="str">
        <x:v>11138</x:v>
      </x:c>
      <x:c r="L55" s="26" t="str">
        <x:v>7017</x:v>
      </x:c>
      <x:c r="M55" s="26" t="str">
        <x:v>OPEN</x:v>
      </x:c>
      <x:c r="N55" s="21" t="str">
        <x:v>PERCENTAGE_POINT_PENDING</x:v>
      </x:c>
      <x:c r="O55" s="21" t="str">
        <x:v>ZERO_VALID_PENDING</x:v>
      </x:c>
      <x:c r="P55" s="21" t="str">
        <x:v>ALLOWED_WITH_OUTLIER_REVIEW</x:v>
      </x:c>
      <x:c r="Q55" s="21" t="str">
        <x:v>INTRA_SCOPE_ONLY</x:v>
      </x:c>
      <x:c r="R55" s="21" t="str">
        <x:v>OPEN</x:v>
      </x:c>
      <x:c r="S55" s="21" t="str">
        <x:v>min minus92.57 and max 975.10</x:v>
      </x:c>
    </x:row>
    <x:row r="56">
      <x:c r="A56" s="21" t="str">
        <x:v>fund.return_2y</x:v>
      </x:c>
      <x:c r="B56" s="21" t="str">
        <x:v>fund</x:v>
      </x:c>
      <x:c r="C56" s="21" t="str">
        <x:v>PRFD01N001</x:v>
      </x:c>
      <x:c r="D56" s="21" t="str">
        <x:v>fd_yr2_ern_r</x:v>
      </x:c>
      <x:c r="E56" s="26" t="str">
        <x:v>11139</x:v>
      </x:c>
      <x:c r="F56" s="26" t="str">
        <x:v>6360</x:v>
      </x:c>
      <x:c r="G56" s="26" t="str">
        <x:v>OPEN</x:v>
      </x:c>
      <x:c r="H56" s="26" t="str">
        <x:v>11138</x:v>
      </x:c>
      <x:c r="I56" s="26" t="str">
        <x:v>6360</x:v>
      </x:c>
      <x:c r="J56" s="26" t="str">
        <x:v>fund_normal_product</x:v>
      </x:c>
      <x:c r="K56" s="26" t="str">
        <x:v>11138</x:v>
      </x:c>
      <x:c r="L56" s="26" t="str">
        <x:v>6360</x:v>
      </x:c>
      <x:c r="M56" s="26" t="str">
        <x:v>OPEN</x:v>
      </x:c>
      <x:c r="N56" s="21" t="str">
        <x:v>PERCENTAGE_POINT_PENDING</x:v>
      </x:c>
      <x:c r="O56" s="21" t="str">
        <x:v>ZERO_VALID_PENDING</x:v>
      </x:c>
      <x:c r="P56" s="21" t="str">
        <x:v>ALLOWED_WITH_OUTLIER_REVIEW</x:v>
      </x:c>
      <x:c r="Q56" s="21" t="str">
        <x:v>BLOCKED</x:v>
      </x:c>
      <x:c r="R56" s="21" t="str">
        <x:v>OPEN</x:v>
      </x:c>
      <x:c r="S56" s="21" t="str">
        <x:v>min minus3675.44</x:v>
      </x:c>
    </x:row>
    <x:row r="57">
      <x:c r="A57" s="21" t="str">
        <x:v>fund.return_3y</x:v>
      </x:c>
      <x:c r="B57" s="21" t="str">
        <x:v>fund</x:v>
      </x:c>
      <x:c r="C57" s="21" t="str">
        <x:v>PRFD01N001</x:v>
      </x:c>
      <x:c r="D57" s="21" t="str">
        <x:v>fd_yr3_ern_r</x:v>
      </x:c>
      <x:c r="E57" s="26" t="str">
        <x:v>11139</x:v>
      </x:c>
      <x:c r="F57" s="26" t="str">
        <x:v>6102</x:v>
      </x:c>
      <x:c r="G57" s="26" t="str">
        <x:v>OPEN</x:v>
      </x:c>
      <x:c r="H57" s="26" t="str">
        <x:v>11138</x:v>
      </x:c>
      <x:c r="I57" s="26" t="str">
        <x:v>6102</x:v>
      </x:c>
      <x:c r="J57" s="26" t="str">
        <x:v>fund_normal_product</x:v>
      </x:c>
      <x:c r="K57" s="26" t="str">
        <x:v>11138</x:v>
      </x:c>
      <x:c r="L57" s="26" t="str">
        <x:v>6102</x:v>
      </x:c>
      <x:c r="M57" s="26" t="str">
        <x:v>OPEN</x:v>
      </x:c>
      <x:c r="N57" s="21" t="str">
        <x:v>PERCENTAGE_POINT_PENDING</x:v>
      </x:c>
      <x:c r="O57" s="21" t="str">
        <x:v>ZERO_VALID_PENDING</x:v>
      </x:c>
      <x:c r="P57" s="21" t="str">
        <x:v>ALLOWED_WITH_OUTLIER_REVIEW</x:v>
      </x:c>
      <x:c r="Q57" s="21" t="str">
        <x:v>BLOCKED</x:v>
      </x:c>
      <x:c r="R57" s="21" t="str">
        <x:v>OPEN</x:v>
      </x:c>
      <x:c r="S57" s="21" t="str">
        <x:v>min minus4381.56</x:v>
      </x:c>
    </x:row>
    <x:row r="58">
      <x:c r="A58" s="21" t="str">
        <x:v>fund.return_5y</x:v>
      </x:c>
      <x:c r="B58" s="21" t="str">
        <x:v>fund</x:v>
      </x:c>
      <x:c r="C58" s="21" t="str">
        <x:v>PRFD01N001</x:v>
      </x:c>
      <x:c r="D58" s="21" t="str">
        <x:v>fd_yr5_ern_r</x:v>
      </x:c>
      <x:c r="E58" s="26" t="str">
        <x:v>11139</x:v>
      </x:c>
      <x:c r="F58" s="26" t="str">
        <x:v>5580</x:v>
      </x:c>
      <x:c r="G58" s="26" t="str">
        <x:v>OPEN</x:v>
      </x:c>
      <x:c r="H58" s="26" t="str">
        <x:v>11138</x:v>
      </x:c>
      <x:c r="I58" s="26" t="str">
        <x:v>5580</x:v>
      </x:c>
      <x:c r="J58" s="26" t="str">
        <x:v>fund_normal_product</x:v>
      </x:c>
      <x:c r="K58" s="26" t="str">
        <x:v>11138</x:v>
      </x:c>
      <x:c r="L58" s="26" t="str">
        <x:v>5580</x:v>
      </x:c>
      <x:c r="M58" s="26" t="str">
        <x:v>OPEN</x:v>
      </x:c>
      <x:c r="N58" s="21" t="str">
        <x:v>PERCENTAGE_POINT_PENDING</x:v>
      </x:c>
      <x:c r="O58" s="21" t="str">
        <x:v>ZERO_VALID_PENDING</x:v>
      </x:c>
      <x:c r="P58" s="21" t="str">
        <x:v>ALLOWED_WITH_OUTLIER_REVIEW</x:v>
      </x:c>
      <x:c r="Q58" s="21" t="str">
        <x:v>BLOCKED</x:v>
      </x:c>
      <x:c r="R58" s="21" t="str">
        <x:v>OPEN</x:v>
      </x:c>
      <x:c r="S58" s="21" t="str">
        <x:v>min minus4254.75</x:v>
      </x:c>
    </x:row>
    <x:row r="59">
      <x:c r="A59" s="21" t="str">
        <x:v>fund.risk_grade</x:v>
      </x:c>
      <x:c r="B59" s="21" t="str">
        <x:v>fund</x:v>
      </x:c>
      <x:c r="C59" s="21" t="str">
        <x:v>PRFD01N001</x:v>
      </x:c>
      <x:c r="D59" s="21" t="str">
        <x:v>zrin_fd_ivst_risk_grd_nm</x:v>
      </x:c>
      <x:c r="E59" s="26" t="str">
        <x:v>11139</x:v>
      </x:c>
      <x:c r="F59" s="26" t="str">
        <x:v>8565</x:v>
      </x:c>
      <x:c r="G59" s="26" t="str">
        <x:v>8565</x:v>
      </x:c>
      <x:c r="H59" s="26" t="str">
        <x:v>11138</x:v>
      </x:c>
      <x:c r="I59" s="26" t="str">
        <x:v>8565</x:v>
      </x:c>
      <x:c r="J59" s="26" t="str">
        <x:v>fund_normal_product</x:v>
      </x:c>
      <x:c r="K59" s="26" t="str">
        <x:v>11138</x:v>
      </x:c>
      <x:c r="L59" s="26" t="str">
        <x:v>8565</x:v>
      </x:c>
      <x:c r="M59" s="26" t="str">
        <x:v>0</x:v>
      </x:c>
      <x:c r="N59" s="21" t="str">
        <x:v>RISK_SCALE</x:v>
      </x:c>
      <x:c r="O59" s="21" t="str">
        <x:v>NOT_APPLICABLE</x:v>
      </x:c>
      <x:c r="P59" s="21" t="str">
        <x:v>BLOCKED_PENDING_ORDER</x:v>
      </x:c>
      <x:c r="Q59" s="21" t="str">
        <x:v>BLOCKED</x:v>
      </x:c>
      <x:c r="R59" s="21" t="str">
        <x:v>OPEN</x:v>
      </x:c>
      <x:c r="S59" s="21" t="str">
        <x:v>coverage 0.768989 and scale order OPEN</x:v>
      </x:c>
    </x:row>
    <x:row r="60">
      <x:c r="A60" s="21" t="str">
        <x:v>fund.expense_ratio</x:v>
      </x:c>
      <x:c r="B60" s="21" t="str">
        <x:v>fund</x:v>
      </x:c>
      <x:c r="C60" s="21" t="str">
        <x:v>PRFD01N001</x:v>
      </x:c>
      <x:c r="D60" s="21" t="str">
        <x:v>NONE</x:v>
      </x:c>
      <x:c r="E60" s="26" t="str">
        <x:v>11139</x:v>
      </x:c>
      <x:c r="F60" s="26" t="str">
        <x:v>0</x:v>
      </x:c>
      <x:c r="G60" s="26" t="str">
        <x:v>0</x:v>
      </x:c>
      <x:c r="H60" s="26" t="str">
        <x:v>11138</x:v>
      </x:c>
      <x:c r="I60" s="26" t="str">
        <x:v>0</x:v>
      </x:c>
      <x:c r="J60" s="26" t="str">
        <x:v>fund_normal_product</x:v>
      </x:c>
      <x:c r="K60" s="26" t="str">
        <x:v>11138</x:v>
      </x:c>
      <x:c r="L60" s="26" t="str">
        <x:v>0</x:v>
      </x:c>
      <x:c r="M60" s="26" t="str">
        <x:v>0</x:v>
      </x:c>
      <x:c r="N60" s="21" t="str">
        <x:v>UNAVAILABLE</x:v>
      </x:c>
      <x:c r="O60" s="21" t="str">
        <x:v>NOT_APPLICABLE</x:v>
      </x:c>
      <x:c r="P60" s="21" t="str">
        <x:v>UNAVAILABLE</x:v>
      </x:c>
      <x:c r="Q60" s="21" t="str">
        <x:v>BLOCKED</x:v>
      </x:c>
      <x:c r="R60" s="21" t="str">
        <x:v>LOCKED</x:v>
      </x:c>
      <x:c r="S60" s="21" t="str">
        <x:v>source field absent</x:v>
      </x:c>
    </x:row>
  </x:sheetData>
  <x:conditionalFormatting sqref="R2:R60">
    <x:cfRule type="containsText" dxfId="2" priority="1" operator="containsText" text="CONFIRMED"/>
    <x:cfRule type="containsText" dxfId="3" priority="2" operator="containsText" text="PENDING"/>
  </x:conditionalFormatting>
  <x:pageMargins left="0.7" right="0.7" top="0.75" bottom="0.75" header="0.3" footer="0.3"/>
  <x:tableParts count="1">
    <x:tablePart xmlns:r="http://schemas.openxmlformats.org/officeDocument/2006/relationships" r:id="R8c57d443040f4ca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2" hidden="0" customWidth="1"/>
    <x:col min="2" max="2" width="16" hidden="0" customWidth="1"/>
    <x:col min="3" max="3" width="18" hidden="0" customWidth="1"/>
    <x:col min="4" max="4" width="28" hidden="0" customWidth="1"/>
    <x:col min="5" max="5" width="18" hidden="0" customWidth="1"/>
    <x:col min="6" max="6" width="16" hidden="0" customWidth="1"/>
    <x:col min="7" max="7" width="18" hidden="0" customWidth="1"/>
    <x:col min="8" max="8" width="36" hidden="0" customWidth="1"/>
    <x:col min="9" max="9" width="28" hidden="0" customWidth="1"/>
    <x:col min="10" max="10" width="28" hidden="0" customWidth="1"/>
    <x:col min="11" max="11" width="32" hidden="0" customWidth="1"/>
    <x:col min="12" max="12" width="28" hidden="0" customWidth="1"/>
    <x:col min="13" max="13" width="52" hidden="0" customWidth="1"/>
  </x:cols>
  <x:sheetData>
    <x:row r="1" ht="34" customHeight="1">
      <x:c r="A1" s="12" t="str">
        <x:v>canonical_field</x:v>
      </x:c>
      <x:c r="B1" s="13" t="str">
        <x:v>scope</x:v>
      </x:c>
      <x:c r="C1" s="13" t="str">
        <x:v>source_table</x:v>
      </x:c>
      <x:c r="D1" s="13" t="str">
        <x:v>source_field</x:v>
      </x:c>
      <x:c r="E1" s="13" t="str">
        <x:v>source_role</x:v>
      </x:c>
      <x:c r="F1" s="13" t="str">
        <x:v>data_type</x:v>
      </x:c>
      <x:c r="G1" s="13" t="str">
        <x:v>unit_status</x:v>
      </x:c>
      <x:c r="H1" s="13" t="str">
        <x:v>allowed_ops</x:v>
      </x:c>
      <x:c r="I1" s="13" t="str">
        <x:v>filter_policy</x:v>
      </x:c>
      <x:c r="J1" s="13" t="str">
        <x:v>sort_policy</x:v>
      </x:c>
      <x:c r="K1" s="13" t="str">
        <x:v>quality_policy</x:v>
      </x:c>
      <x:c r="L1" s="13" t="str">
        <x:v>as_of_field</x:v>
      </x:c>
      <x:c r="M1" s="14" t="str">
        <x:v>notes</x:v>
      </x:c>
    </x:row>
    <x:row r="2">
      <x:c r="A2" s="20" t="str">
        <x:v>product.id</x:v>
      </x:c>
      <x:c r="B2" s="20" t="str">
        <x:v>bond</x:v>
      </x:c>
      <x:c r="C2" s="20" t="str">
        <x:v>PRBD01N001</x:v>
      </x:c>
      <x:c r="D2" s="20" t="str">
        <x:v>PD_NO</x:v>
      </x:c>
      <x:c r="E2" s="20" t="str">
        <x:v>PRIMARY_ID</x:v>
      </x:c>
      <x:c r="F2" s="20" t="str">
        <x:v>string</x:v>
      </x:c>
      <x:c r="G2" s="20" t="str">
        <x:v>IDENTIFIER</x:v>
      </x:c>
      <x:c r="H2" s="20" t="str">
        <x:v>eq|in|starts_with</x:v>
      </x:c>
      <x:c r="I2" s="20" t="str">
        <x:v>ALLOWED</x:v>
      </x:c>
      <x:c r="J2" s="20" t="str">
        <x:v>ALLOWED</x:v>
      </x:c>
      <x:c r="K2" s="20" t="str">
        <x:v>REQUIRED_UNIQUE</x:v>
      </x:c>
      <x:c r="L2" s="20" t="str">
        <x:v>NONE</x:v>
      </x:c>
      <x:c r="M2" s="20" t="str">
        <x:v>42 394 unique</x:v>
      </x:c>
    </x:row>
    <x:row r="3">
      <x:c r="A3" s="21" t="str">
        <x:v>product.market</x:v>
      </x:c>
      <x:c r="B3" s="21" t="str">
        <x:v>bond</x:v>
      </x:c>
      <x:c r="C3" s="21" t="str">
        <x:v>PRBD01N001</x:v>
      </x:c>
      <x:c r="D3" s="21" t="str">
        <x:v>PD_EXG_MKT</x:v>
      </x:c>
      <x:c r="E3" s="21" t="str">
        <x:v>DIMENSION</x:v>
      </x:c>
      <x:c r="F3" s="21" t="str">
        <x:v>string</x:v>
      </x:c>
      <x:c r="G3" s="21" t="str">
        <x:v>CATEGORY</x:v>
      </x:c>
      <x:c r="H3" s="21" t="str">
        <x:v>eq|in</x:v>
      </x:c>
      <x:c r="I3" s="21" t="str">
        <x:v>ALLOWED</x:v>
      </x:c>
      <x:c r="J3" s="21" t="str">
        <x:v>ALLOWED</x:v>
      </x:c>
      <x:c r="K3" s="21" t="str">
        <x:v>VALID</x:v>
      </x:c>
      <x:c r="L3" s="21" t="str">
        <x:v>NONE</x:v>
      </x:c>
      <x:c r="M3" s="21" t="str"/>
    </x:row>
    <x:row r="4">
      <x:c r="A4" s="21" t="str">
        <x:v>product.name</x:v>
      </x:c>
      <x:c r="B4" s="21" t="str">
        <x:v>bond</x:v>
      </x:c>
      <x:c r="C4" s="21" t="str">
        <x:v>PRBD01N001</x:v>
      </x:c>
      <x:c r="D4" s="21" t="str">
        <x:v>PD_NM</x:v>
      </x:c>
      <x:c r="E4" s="21" t="str">
        <x:v>PRIMARY_NAME</x:v>
      </x:c>
      <x:c r="F4" s="21" t="str">
        <x:v>string</x:v>
      </x:c>
      <x:c r="G4" s="21" t="str">
        <x:v>TEXT</x:v>
      </x:c>
      <x:c r="H4" s="21" t="str">
        <x:v>eq|contains|starts_with</x:v>
      </x:c>
      <x:c r="I4" s="21" t="str">
        <x:v>ALLOWED</x:v>
      </x:c>
      <x:c r="J4" s="21" t="str">
        <x:v>ALLOWED</x:v>
      </x:c>
      <x:c r="K4" s="21" t="str">
        <x:v>AMBIGUITY_CHECK</x:v>
      </x:c>
      <x:c r="L4" s="21" t="str">
        <x:v>NONE</x:v>
      </x:c>
      <x:c r="M4" s="21" t="str">
        <x:v>name is not an ID</x:v>
      </x:c>
    </x:row>
    <x:row r="5">
      <x:c r="A5" s="21" t="str">
        <x:v>product.alias.short_name</x:v>
      </x:c>
      <x:c r="B5" s="21" t="str">
        <x:v>bond</x:v>
      </x:c>
      <x:c r="C5" s="21" t="str">
        <x:v>PRBD01N001</x:v>
      </x:c>
      <x:c r="D5" s="21" t="str">
        <x:v>PD_ABRV_NM</x:v>
      </x:c>
      <x:c r="E5" s="21" t="str">
        <x:v>ALIAS_NAME</x:v>
      </x:c>
      <x:c r="F5" s="21" t="str">
        <x:v>string</x:v>
      </x:c>
      <x:c r="G5" s="21" t="str">
        <x:v>TEXT</x:v>
      </x:c>
      <x:c r="H5" s="21" t="str">
        <x:v>eq|contains|starts_with</x:v>
      </x:c>
      <x:c r="I5" s="21" t="str">
        <x:v>ALLOWED</x:v>
      </x:c>
      <x:c r="J5" s="21" t="str">
        <x:v>ALLOWED</x:v>
      </x:c>
      <x:c r="K5" s="21" t="str">
        <x:v>TRIM_WHITESPACE</x:v>
      </x:c>
      <x:c r="L5" s="21" t="str">
        <x:v>NONE</x:v>
      </x:c>
      <x:c r="M5" s="21" t="str"/>
    </x:row>
    <x:row r="6">
      <x:c r="A6" s="21" t="str">
        <x:v>product.alias.english_name</x:v>
      </x:c>
      <x:c r="B6" s="21" t="str">
        <x:v>bond</x:v>
      </x:c>
      <x:c r="C6" s="21" t="str">
        <x:v>PRBD01N001</x:v>
      </x:c>
      <x:c r="D6" s="21" t="str">
        <x:v>PD_ENG_NM</x:v>
      </x:c>
      <x:c r="E6" s="21" t="str">
        <x:v>ALIAS_NAME</x:v>
      </x:c>
      <x:c r="F6" s="21" t="str">
        <x:v>string</x:v>
      </x:c>
      <x:c r="G6" s="21" t="str">
        <x:v>TEXT</x:v>
      </x:c>
      <x:c r="H6" s="21" t="str">
        <x:v>eq|contains|starts_with</x:v>
      </x:c>
      <x:c r="I6" s="21" t="str">
        <x:v>ALLOWED</x:v>
      </x:c>
      <x:c r="J6" s="21" t="str">
        <x:v>ALLOWED</x:v>
      </x:c>
      <x:c r="K6" s="21" t="str">
        <x:v>TRIM_WHITESPACE</x:v>
      </x:c>
      <x:c r="L6" s="21" t="str">
        <x:v>NONE</x:v>
      </x:c>
      <x:c r="M6" s="21" t="str"/>
    </x:row>
    <x:row r="7">
      <x:c r="A7" s="21" t="str">
        <x:v>product.alias.english_short_name</x:v>
      </x:c>
      <x:c r="B7" s="21" t="str">
        <x:v>bond</x:v>
      </x:c>
      <x:c r="C7" s="21" t="str">
        <x:v>PRBD01N001</x:v>
      </x:c>
      <x:c r="D7" s="21" t="str">
        <x:v>PD_ABRV_ENG_NM</x:v>
      </x:c>
      <x:c r="E7" s="21" t="str">
        <x:v>ALIAS_NAME</x:v>
      </x:c>
      <x:c r="F7" s="21" t="str">
        <x:v>string</x:v>
      </x:c>
      <x:c r="G7" s="21" t="str">
        <x:v>TEXT</x:v>
      </x:c>
      <x:c r="H7" s="21" t="str">
        <x:v>eq|contains|starts_with</x:v>
      </x:c>
      <x:c r="I7" s="21" t="str">
        <x:v>ALLOWED</x:v>
      </x:c>
      <x:c r="J7" s="21" t="str">
        <x:v>ALLOWED</x:v>
      </x:c>
      <x:c r="K7" s="21" t="str">
        <x:v>TRIM_WHITESPACE</x:v>
      </x:c>
      <x:c r="L7" s="21" t="str">
        <x:v>NONE</x:v>
      </x:c>
      <x:c r="M7" s="21" t="str"/>
    </x:row>
    <x:row r="8">
      <x:c r="A8" s="21" t="str">
        <x:v>product.country_code</x:v>
      </x:c>
      <x:c r="B8" s="21" t="str">
        <x:v>bond</x:v>
      </x:c>
      <x:c r="C8" s="21" t="str">
        <x:v>PRBD01N001</x:v>
      </x:c>
      <x:c r="D8" s="21" t="str">
        <x:v>PD_CTRY_CD</x:v>
      </x:c>
      <x:c r="E8" s="21" t="str">
        <x:v>DIMENSION</x:v>
      </x:c>
      <x:c r="F8" s="21" t="str">
        <x:v>string</x:v>
      </x:c>
      <x:c r="G8" s="21" t="str">
        <x:v>COUNTRY_CODE</x:v>
      </x:c>
      <x:c r="H8" s="21" t="str">
        <x:v>eq|in</x:v>
      </x:c>
      <x:c r="I8" s="21" t="str">
        <x:v>ALLOWED</x:v>
      </x:c>
      <x:c r="J8" s="21" t="str">
        <x:v>ALLOWED</x:v>
      </x:c>
      <x:c r="K8" s="21" t="str">
        <x:v>VALID</x:v>
      </x:c>
      <x:c r="L8" s="21" t="str">
        <x:v>NONE</x:v>
      </x:c>
      <x:c r="M8" s="21" t="str"/>
    </x:row>
    <x:row r="9">
      <x:c r="A9" s="21" t="str">
        <x:v>product.issuer</x:v>
      </x:c>
      <x:c r="B9" s="21" t="str">
        <x:v>bond</x:v>
      </x:c>
      <x:c r="C9" s="21" t="str">
        <x:v>PRBD01N001</x:v>
      </x:c>
      <x:c r="D9" s="21" t="str">
        <x:v>PD_PBCM</x:v>
      </x:c>
      <x:c r="E9" s="21" t="str">
        <x:v>DIMENSION</x:v>
      </x:c>
      <x:c r="F9" s="21" t="str">
        <x:v>string</x:v>
      </x:c>
      <x:c r="G9" s="21" t="str">
        <x:v>TEXT</x:v>
      </x:c>
      <x:c r="H9" s="21" t="str">
        <x:v>eq|contains|starts_with</x:v>
      </x:c>
      <x:c r="I9" s="21" t="str">
        <x:v>ALLOWED</x:v>
      </x:c>
      <x:c r="J9" s="21" t="str">
        <x:v>ALLOWED</x:v>
      </x:c>
      <x:c r="K9" s="21" t="str">
        <x:v>TRIM_WHITESPACE</x:v>
      </x:c>
      <x:c r="L9" s="21" t="str">
        <x:v>NONE</x:v>
      </x:c>
      <x:c r="M9" s="21" t="str"/>
    </x:row>
    <x:row r="10">
      <x:c r="A10" s="21" t="str">
        <x:v>product.asset_class</x:v>
      </x:c>
      <x:c r="B10" s="21" t="str">
        <x:v>bond</x:v>
      </x:c>
      <x:c r="C10" s="21" t="str">
        <x:v>PRBD01N001</x:v>
      </x:c>
      <x:c r="D10" s="21" t="str">
        <x:v>STD_PD_MCLS_NM</x:v>
      </x:c>
      <x:c r="E10" s="21" t="str">
        <x:v>DIMENSION</x:v>
      </x:c>
      <x:c r="F10" s="21" t="str">
        <x:v>string</x:v>
      </x:c>
      <x:c r="G10" s="21" t="str">
        <x:v>CATEGORY</x:v>
      </x:c>
      <x:c r="H10" s="21" t="str">
        <x:v>eq|in|contains</x:v>
      </x:c>
      <x:c r="I10" s="21" t="str">
        <x:v>ALLOWED</x:v>
      </x:c>
      <x:c r="J10" s="21" t="str">
        <x:v>ALLOWED</x:v>
      </x:c>
      <x:c r="K10" s="21" t="str">
        <x:v>VALID</x:v>
      </x:c>
      <x:c r="L10" s="21" t="str">
        <x:v>NONE</x:v>
      </x:c>
      <x:c r="M10" s="21" t="str">
        <x:v>official raw major class</x:v>
      </x:c>
    </x:row>
    <x:row r="11">
      <x:c r="A11" s="21" t="str">
        <x:v>product.asset_subclass</x:v>
      </x:c>
      <x:c r="B11" s="21" t="str">
        <x:v>bond</x:v>
      </x:c>
      <x:c r="C11" s="21" t="str">
        <x:v>PRBD01N001</x:v>
      </x:c>
      <x:c r="D11" s="21" t="str">
        <x:v>STD_PD_SCLS_NM</x:v>
      </x:c>
      <x:c r="E11" s="21" t="str">
        <x:v>DIMENSION</x:v>
      </x:c>
      <x:c r="F11" s="21" t="str">
        <x:v>string</x:v>
      </x:c>
      <x:c r="G11" s="21" t="str">
        <x:v>CATEGORY</x:v>
      </x:c>
      <x:c r="H11" s="21" t="str">
        <x:v>eq|in|contains</x:v>
      </x:c>
      <x:c r="I11" s="21" t="str">
        <x:v>ALLOWED</x:v>
      </x:c>
      <x:c r="J11" s="21" t="str">
        <x:v>ALLOWED</x:v>
      </x:c>
      <x:c r="K11" s="21" t="str">
        <x:v>MISSING_ALLOWED</x:v>
      </x:c>
      <x:c r="L11" s="21" t="str">
        <x:v>NONE</x:v>
      </x:c>
      <x:c r="M11" s="21" t="str">
        <x:v>official raw minor class</x:v>
      </x:c>
    </x:row>
    <x:row r="12">
      <x:c r="A12" s="21" t="str">
        <x:v>bond.kind</x:v>
      </x:c>
      <x:c r="B12" s="21" t="str">
        <x:v>bond</x:v>
      </x:c>
      <x:c r="C12" s="21" t="str">
        <x:v>PRBD01N001</x:v>
      </x:c>
      <x:c r="D12" s="21" t="str">
        <x:v>BD_KND</x:v>
      </x:c>
      <x:c r="E12" s="21" t="str">
        <x:v>DIMENSION</x:v>
      </x:c>
      <x:c r="F12" s="21" t="str">
        <x:v>string</x:v>
      </x:c>
      <x:c r="G12" s="21" t="str">
        <x:v>CATEGORY</x:v>
      </x:c>
      <x:c r="H12" s="21" t="str">
        <x:v>eq|in|contains</x:v>
      </x:c>
      <x:c r="I12" s="21" t="str">
        <x:v>ALLOWED</x:v>
      </x:c>
      <x:c r="J12" s="21" t="str">
        <x:v>ALLOWED</x:v>
      </x:c>
      <x:c r="K12" s="21" t="str">
        <x:v>MISSING_ALLOWED</x:v>
      </x:c>
      <x:c r="L12" s="21" t="str">
        <x:v>NONE</x:v>
      </x:c>
      <x:c r="M12" s="21" t="str"/>
    </x:row>
    <x:row r="13">
      <x:c r="A13" s="21" t="str">
        <x:v>product.currency</x:v>
      </x:c>
      <x:c r="B13" s="21" t="str">
        <x:v>bond</x:v>
      </x:c>
      <x:c r="C13" s="21" t="str">
        <x:v>PRBD01N001</x:v>
      </x:c>
      <x:c r="D13" s="21" t="str">
        <x:v>CURR_CD</x:v>
      </x:c>
      <x:c r="E13" s="21" t="str">
        <x:v>DIMENSION</x:v>
      </x:c>
      <x:c r="F13" s="21" t="str">
        <x:v>string</x:v>
      </x:c>
      <x:c r="G13" s="21" t="str">
        <x:v>CURRENCY_CODE</x:v>
      </x:c>
      <x:c r="H13" s="21" t="str">
        <x:v>eq|in</x:v>
      </x:c>
      <x:c r="I13" s="21" t="str">
        <x:v>ALLOWED</x:v>
      </x:c>
      <x:c r="J13" s="21" t="str">
        <x:v>ALLOWED</x:v>
      </x:c>
      <x:c r="K13" s="21" t="str">
        <x:v>INVALID_CODE_FLAG</x:v>
      </x:c>
      <x:c r="L13" s="21" t="str">
        <x:v>NONE</x:v>
      </x:c>
      <x:c r="M13" s="21" t="str">
        <x:v>000 is invalid or unknown</x:v>
      </x:c>
    </x:row>
    <x:row r="14">
      <x:c r="A14" s="21" t="str">
        <x:v>bond.issue_amount</x:v>
      </x:c>
      <x:c r="B14" s="21" t="str">
        <x:v>bond</x:v>
      </x:c>
      <x:c r="C14" s="21" t="str">
        <x:v>PRBD01N001</x:v>
      </x:c>
      <x:c r="D14" s="21" t="str">
        <x:v>ISU_BAL_AMT</x:v>
      </x:c>
      <x:c r="E14" s="21" t="str">
        <x:v>METRIC</x:v>
      </x:c>
      <x:c r="F14" s="21" t="str">
        <x:v>decimal</x:v>
      </x:c>
      <x:c r="G14" s="21" t="str">
        <x:v>PENDING_CONFIRMATION</x:v>
      </x:c>
      <x:c r="H14" s="21" t="str">
        <x:v>eq|gt|gte|lt|lte|between</x:v>
      </x:c>
      <x:c r="I14" s="21" t="str">
        <x:v>ALLOWED</x:v>
      </x:c>
      <x:c r="J14" s="21" t="str">
        <x:v>ALLOWED_WITH_POLICY</x:v>
      </x:c>
      <x:c r="K14" s="21" t="str">
        <x:v>ZERO_UNKNOWN</x:v>
      </x:c>
      <x:c r="L14" s="21" t="str">
        <x:v>NONE</x:v>
      </x:c>
      <x:c r="M14" s="21" t="str">
        <x:v>unit and zero semantics OPEN</x:v>
      </x:c>
    </x:row>
    <x:row r="15">
      <x:c r="A15" s="21" t="str">
        <x:v>bond.issue_date</x:v>
      </x:c>
      <x:c r="B15" s="21" t="str">
        <x:v>bond</x:v>
      </x:c>
      <x:c r="C15" s="21" t="str">
        <x:v>PRBD01N001</x:v>
      </x:c>
      <x:c r="D15" s="21" t="str">
        <x:v>ISU_DT</x:v>
      </x:c>
      <x:c r="E15" s="21" t="str">
        <x:v>DIMENSION</x:v>
      </x:c>
      <x:c r="F15" s="21" t="str">
        <x:v>date</x:v>
      </x:c>
      <x:c r="G15" s="21" t="str">
        <x:v>YYYYMMDD</x:v>
      </x:c>
      <x:c r="H15" s="21" t="str">
        <x:v>eq|gt|gte|lt|lte|between</x:v>
      </x:c>
      <x:c r="I15" s="21" t="str">
        <x:v>ALLOWED</x:v>
      </x:c>
      <x:c r="J15" s="21" t="str">
        <x:v>ALLOWED</x:v>
      </x:c>
      <x:c r="K15" s="21" t="str">
        <x:v>SENTINEL_0</x:v>
      </x:c>
      <x:c r="L15" s="21" t="str">
        <x:v>NONE</x:v>
      </x:c>
      <x:c r="M15" s="21" t="str">
        <x:v>preserve raw numeric date</x:v>
      </x:c>
    </x:row>
    <x:row r="16">
      <x:c r="A16" s="21" t="str">
        <x:v>bond.maturity_date</x:v>
      </x:c>
      <x:c r="B16" s="21" t="str">
        <x:v>bond</x:v>
      </x:c>
      <x:c r="C16" s="21" t="str">
        <x:v>PRBD01N001</x:v>
      </x:c>
      <x:c r="D16" s="21" t="str">
        <x:v>MAT_DT</x:v>
      </x:c>
      <x:c r="E16" s="21" t="str">
        <x:v>DIMENSION</x:v>
      </x:c>
      <x:c r="F16" s="21" t="str">
        <x:v>date</x:v>
      </x:c>
      <x:c r="G16" s="21" t="str">
        <x:v>YYYYMMDD</x:v>
      </x:c>
      <x:c r="H16" s="21" t="str">
        <x:v>eq|gt|gte|lt|lte|between</x:v>
      </x:c>
      <x:c r="I16" s="21" t="str">
        <x:v>ALLOWED</x:v>
      </x:c>
      <x:c r="J16" s="21" t="str">
        <x:v>ALLOWED</x:v>
      </x:c>
      <x:c r="K16" s="21" t="str">
        <x:v>SENTINEL_0_99991231_OPEN</x:v>
      </x:c>
      <x:c r="L16" s="21" t="str">
        <x:v>NONE</x:v>
      </x:c>
      <x:c r="M16" s="21" t="str"/>
    </x:row>
    <x:row r="17">
      <x:c r="A17" s="21" t="str">
        <x:v>bond.coupon_rate</x:v>
      </x:c>
      <x:c r="B17" s="21" t="str">
        <x:v>bond</x:v>
      </x:c>
      <x:c r="C17" s="21" t="str">
        <x:v>PRBD01N001</x:v>
      </x:c>
      <x:c r="D17" s="21" t="str">
        <x:v>SRFC_IRT</x:v>
      </x:c>
      <x:c r="E17" s="21" t="str">
        <x:v>METRIC</x:v>
      </x:c>
      <x:c r="F17" s="21" t="str">
        <x:v>decimal</x:v>
      </x:c>
      <x:c r="G17" s="21" t="str">
        <x:v>PERCENTAGE_POINT_PENDING</x:v>
      </x:c>
      <x:c r="H17" s="21" t="str">
        <x:v>eq|gt|gte|lt|lte|between</x:v>
      </x:c>
      <x:c r="I17" s="21" t="str">
        <x:v>ALLOWED</x:v>
      </x:c>
      <x:c r="J17" s="21" t="str">
        <x:v>ALLOWED_WITH_OUTLIER_REVIEW</x:v>
      </x:c>
      <x:c r="K17" s="21" t="str">
        <x:v>SUSPECT_OUTLIER</x:v>
      </x:c>
      <x:c r="L17" s="21" t="str">
        <x:v>NONE</x:v>
      </x:c>
      <x:c r="M17" s="21" t="str">
        <x:v>max 34.277</x:v>
      </x:c>
    </x:row>
    <x:row r="18">
      <x:c r="A18" s="21" t="str">
        <x:v>bond.evaluator_credit_rating</x:v>
      </x:c>
      <x:c r="B18" s="21" t="str">
        <x:v>bond</x:v>
      </x:c>
      <x:c r="C18" s="21" t="str">
        <x:v>PRBD01N001</x:v>
      </x:c>
      <x:c r="D18" s="21" t="str">
        <x:v>PD_EVCO_CRD_GRD</x:v>
      </x:c>
      <x:c r="E18" s="21" t="str">
        <x:v>DIMENSION</x:v>
      </x:c>
      <x:c r="F18" s="21" t="str">
        <x:v>string</x:v>
      </x:c>
      <x:c r="G18" s="21" t="str">
        <x:v>RATING</x:v>
      </x:c>
      <x:c r="H18" s="21" t="str">
        <x:v>eq|in|contains</x:v>
      </x:c>
      <x:c r="I18" s="21" t="str">
        <x:v>ALLOWED</x:v>
      </x:c>
      <x:c r="J18" s="21" t="str">
        <x:v>BLOCKED_PENDING_ORDER</x:v>
      </x:c>
      <x:c r="K18" s="21" t="str">
        <x:v>MISSING_ALLOWED</x:v>
      </x:c>
      <x:c r="L18" s="21" t="str">
        <x:v>CRD_GRD_DT</x:v>
      </x:c>
      <x:c r="M18" s="21" t="str">
        <x:v>multiple evaluator ratings may be concatenated</x:v>
      </x:c>
    </x:row>
    <x:row r="19">
      <x:c r="A19" s="21" t="str">
        <x:v>bond.risk_grade</x:v>
      </x:c>
      <x:c r="B19" s="21" t="str">
        <x:v>bond</x:v>
      </x:c>
      <x:c r="C19" s="21" t="str">
        <x:v>PRBD01N001</x:v>
      </x:c>
      <x:c r="D19" s="21" t="str">
        <x:v>PD_RISK_GCD</x:v>
      </x:c>
      <x:c r="E19" s="21" t="str">
        <x:v>DIMENSION</x:v>
      </x:c>
      <x:c r="F19" s="21" t="str">
        <x:v>string</x:v>
      </x:c>
      <x:c r="G19" s="21" t="str">
        <x:v>CODE</x:v>
      </x:c>
      <x:c r="H19" s="21" t="str">
        <x:v>eq|in</x:v>
      </x:c>
      <x:c r="I19" s="21" t="str">
        <x:v>ALLOWED</x:v>
      </x:c>
      <x:c r="J19" s="21" t="str">
        <x:v>BLOCKED_PENDING_ORDER</x:v>
      </x:c>
      <x:c r="K19" s="21" t="str">
        <x:v>ZERO_UNKNOWN</x:v>
      </x:c>
      <x:c r="L19" s="21" t="str">
        <x:v>NONE</x:v>
      </x:c>
      <x:c r="M19" s="21" t="str">
        <x:v>direction OPEN</x:v>
      </x:c>
    </x:row>
    <x:row r="20">
      <x:c r="A20" s="21" t="str">
        <x:v>bond.product_info_as_of</x:v>
      </x:c>
      <x:c r="B20" s="21" t="str">
        <x:v>bond</x:v>
      </x:c>
      <x:c r="C20" s="21" t="str">
        <x:v>PRBD01N001</x:v>
      </x:c>
      <x:c r="D20" s="21" t="str">
        <x:v>PD_STD_INFO_UPDATE</x:v>
      </x:c>
      <x:c r="E20" s="21" t="str">
        <x:v>AS_OF</x:v>
      </x:c>
      <x:c r="F20" s="21" t="str">
        <x:v>date</x:v>
      </x:c>
      <x:c r="G20" s="21" t="str">
        <x:v>YYYYMMDD</x:v>
      </x:c>
      <x:c r="H20" s="21" t="str">
        <x:v>eq|gt|gte|lt|lte|between</x:v>
      </x:c>
      <x:c r="I20" s="21" t="str">
        <x:v>ALLOWED</x:v>
      </x:c>
      <x:c r="J20" s="21" t="str">
        <x:v>ALLOWED</x:v>
      </x:c>
      <x:c r="K20" s="21" t="str">
        <x:v>MISSING_ALLOWED</x:v>
      </x:c>
      <x:c r="L20" s="21" t="str">
        <x:v>NONE</x:v>
      </x:c>
      <x:c r="M20" s="21" t="str">
        <x:v>field-level product information date</x:v>
      </x:c>
    </x:row>
    <x:row r="21">
      <x:c r="A21" s="21" t="str">
        <x:v>bond.buy_yield</x:v>
      </x:c>
      <x:c r="B21" s="21" t="str">
        <x:v>bond</x:v>
      </x:c>
      <x:c r="C21" s="21" t="str">
        <x:v>PRBD01N001</x:v>
      </x:c>
      <x:c r="D21" s="21" t="str">
        <x:v>BUY_YIELD</x:v>
      </x:c>
      <x:c r="E21" s="21" t="str">
        <x:v>METRIC</x:v>
      </x:c>
      <x:c r="F21" s="21" t="str">
        <x:v>decimal</x:v>
      </x:c>
      <x:c r="G21" s="21" t="str">
        <x:v>PERCENTAGE_POINT_PENDING</x:v>
      </x:c>
      <x:c r="H21" s="21" t="str">
        <x:v>eq|gt|gte|lt|lte|between</x:v>
      </x:c>
      <x:c r="I21" s="21" t="str">
        <x:v>ALLOWED</x:v>
      </x:c>
      <x:c r="J21" s="21" t="str">
        <x:v>ALLOWED_WITH_COVERAGE</x:v>
      </x:c>
      <x:c r="K21" s="21" t="str">
        <x:v>PARTIAL_881</x:v>
      </x:c>
      <x:c r="L21" s="21" t="str">
        <x:v>NONE</x:v>
      </x:c>
      <x:c r="M21" s="21" t="str"/>
    </x:row>
    <x:row r="22">
      <x:c r="A22" s="21" t="str">
        <x:v>bond.corporate_pretax_yield</x:v>
      </x:c>
      <x:c r="B22" s="21" t="str">
        <x:v>bond</x:v>
      </x:c>
      <x:c r="C22" s="21" t="str">
        <x:v>PRBD01N001</x:v>
      </x:c>
      <x:c r="D22" s="21" t="str">
        <x:v>CORP_PRETAX_YIELD</x:v>
      </x:c>
      <x:c r="E22" s="21" t="str">
        <x:v>METRIC</x:v>
      </x:c>
      <x:c r="F22" s="21" t="str">
        <x:v>decimal</x:v>
      </x:c>
      <x:c r="G22" s="21" t="str">
        <x:v>PERCENTAGE_POINT_PENDING</x:v>
      </x:c>
      <x:c r="H22" s="21" t="str">
        <x:v>eq|gt|gte|lt|lte|between</x:v>
      </x:c>
      <x:c r="I22" s="21" t="str">
        <x:v>ALLOWED</x:v>
      </x:c>
      <x:c r="J22" s="21" t="str">
        <x:v>ALLOWED_WITH_COVERAGE</x:v>
      </x:c>
      <x:c r="K22" s="21" t="str">
        <x:v>PARTIAL_881</x:v>
      </x:c>
      <x:c r="L22" s="21" t="str">
        <x:v>NONE</x:v>
      </x:c>
      <x:c r="M22" s="21" t="str"/>
    </x:row>
    <x:row r="23">
      <x:c r="A23" s="21" t="str">
        <x:v>bond.corporate_after_tax_yield</x:v>
      </x:c>
      <x:c r="B23" s="21" t="str">
        <x:v>bond</x:v>
      </x:c>
      <x:c r="C23" s="21" t="str">
        <x:v>PRBD01N001</x:v>
      </x:c>
      <x:c r="D23" s="21" t="str">
        <x:v>CORP_AFTER_TAX_YIELD</x:v>
      </x:c>
      <x:c r="E23" s="21" t="str">
        <x:v>METRIC</x:v>
      </x:c>
      <x:c r="F23" s="21" t="str">
        <x:v>decimal</x:v>
      </x:c>
      <x:c r="G23" s="21" t="str">
        <x:v>PERCENTAGE_POINT_PENDING</x:v>
      </x:c>
      <x:c r="H23" s="21" t="str">
        <x:v>eq|gt|gte|lt|lte|between</x:v>
      </x:c>
      <x:c r="I23" s="21" t="str">
        <x:v>ALLOWED</x:v>
      </x:c>
      <x:c r="J23" s="21" t="str">
        <x:v>ALLOWED_WITH_COVERAGE</x:v>
      </x:c>
      <x:c r="K23" s="21" t="str">
        <x:v>PARTIAL_881</x:v>
      </x:c>
      <x:c r="L23" s="21" t="str">
        <x:v>NONE</x:v>
      </x:c>
      <x:c r="M23" s="21" t="str"/>
    </x:row>
    <x:row r="24">
      <x:c r="A24" s="21" t="str">
        <x:v>bond.after_tax_yield</x:v>
      </x:c>
      <x:c r="B24" s="21" t="str">
        <x:v>bond</x:v>
      </x:c>
      <x:c r="C24" s="21" t="str">
        <x:v>PRBD01N001</x:v>
      </x:c>
      <x:c r="D24" s="21" t="str">
        <x:v>AFTER_TAX_YIELD</x:v>
      </x:c>
      <x:c r="E24" s="21" t="str">
        <x:v>METRIC</x:v>
      </x:c>
      <x:c r="F24" s="21" t="str">
        <x:v>decimal</x:v>
      </x:c>
      <x:c r="G24" s="21" t="str">
        <x:v>PERCENTAGE_POINT_PENDING</x:v>
      </x:c>
      <x:c r="H24" s="21" t="str">
        <x:v>eq|gt|gte|lt|lte|between</x:v>
      </x:c>
      <x:c r="I24" s="21" t="str">
        <x:v>ALLOWED</x:v>
      </x:c>
      <x:c r="J24" s="21" t="str">
        <x:v>ALLOWED_WITH_COVERAGE</x:v>
      </x:c>
      <x:c r="K24" s="21" t="str">
        <x:v>PARTIAL_881</x:v>
      </x:c>
      <x:c r="L24" s="21" t="str">
        <x:v>NONE</x:v>
      </x:c>
      <x:c r="M24" s="21" t="str"/>
    </x:row>
    <x:row r="25">
      <x:c r="A25" s="21" t="str">
        <x:v>bond.preferential_tax_yield</x:v>
      </x:c>
      <x:c r="B25" s="21" t="str">
        <x:v>bond</x:v>
      </x:c>
      <x:c r="C25" s="21" t="str">
        <x:v>PRBD01N001</x:v>
      </x:c>
      <x:c r="D25" s="21" t="str">
        <x:v>PREF_TAX_YIELD</x:v>
      </x:c>
      <x:c r="E25" s="21" t="str">
        <x:v>METRIC</x:v>
      </x:c>
      <x:c r="F25" s="21" t="str">
        <x:v>decimal</x:v>
      </x:c>
      <x:c r="G25" s="21" t="str">
        <x:v>PERCENTAGE_POINT_PENDING</x:v>
      </x:c>
      <x:c r="H25" s="21" t="str">
        <x:v>eq|gt|gte|lt|lte|between</x:v>
      </x:c>
      <x:c r="I25" s="21" t="str">
        <x:v>ALLOWED</x:v>
      </x:c>
      <x:c r="J25" s="21" t="str">
        <x:v>ALLOWED_WITH_COVERAGE</x:v>
      </x:c>
      <x:c r="K25" s="21" t="str">
        <x:v>PARTIAL_881</x:v>
      </x:c>
      <x:c r="L25" s="21" t="str">
        <x:v>NONE</x:v>
      </x:c>
      <x:c r="M25" s="21" t="str"/>
    </x:row>
    <x:row r="26">
      <x:c r="A26" s="21" t="str">
        <x:v>bond.avg_annual_tax_yield</x:v>
      </x:c>
      <x:c r="B26" s="21" t="str">
        <x:v>bond</x:v>
      </x:c>
      <x:c r="C26" s="21" t="str">
        <x:v>PRBD01N001</x:v>
      </x:c>
      <x:c r="D26" s="21" t="str">
        <x:v>AVG_ANNUAL_TAX_YIELD</x:v>
      </x:c>
      <x:c r="E26" s="21" t="str">
        <x:v>METRIC</x:v>
      </x:c>
      <x:c r="F26" s="21" t="str">
        <x:v>decimal</x:v>
      </x:c>
      <x:c r="G26" s="21" t="str">
        <x:v>PERCENTAGE_POINT_PENDING</x:v>
      </x:c>
      <x:c r="H26" s="21" t="str">
        <x:v>eq|gt|gte|lt|lte|between</x:v>
      </x:c>
      <x:c r="I26" s="21" t="str">
        <x:v>BLOCKED_CONSTANT</x:v>
      </x:c>
      <x:c r="J26" s="21" t="str">
        <x:v>BLOCKED_CONSTANT</x:v>
      </x:c>
      <x:c r="K26" s="21" t="str">
        <x:v>UNUSABLE_CONSTANT</x:v>
      </x:c>
      <x:c r="L26" s="21" t="str">
        <x:v>NONE</x:v>
      </x:c>
      <x:c r="M26" s="21" t="str">
        <x:v>881 present values are all zero</x:v>
      </x:c>
    </x:row>
    <x:row r="27">
      <x:c r="A27" s="21" t="str">
        <x:v>bond.deposit_equivalent_yield_154</x:v>
      </x:c>
      <x:c r="B27" s="21" t="str">
        <x:v>bond</x:v>
      </x:c>
      <x:c r="C27" s="21" t="str">
        <x:v>PRBD01N001</x:v>
      </x:c>
      <x:c r="D27" s="21" t="str">
        <x:v>DEPO_EQUIV_YIELD_154</x:v>
      </x:c>
      <x:c r="E27" s="21" t="str">
        <x:v>METRIC</x:v>
      </x:c>
      <x:c r="F27" s="21" t="str">
        <x:v>decimal</x:v>
      </x:c>
      <x:c r="G27" s="21" t="str">
        <x:v>PERCENTAGE_POINT_PENDING</x:v>
      </x:c>
      <x:c r="H27" s="21" t="str">
        <x:v>eq|gt|gte|lt|lte|between</x:v>
      </x:c>
      <x:c r="I27" s="21" t="str">
        <x:v>ALLOWED</x:v>
      </x:c>
      <x:c r="J27" s="21" t="str">
        <x:v>ALLOWED_WITH_COVERAGE</x:v>
      </x:c>
      <x:c r="K27" s="21" t="str">
        <x:v>PARTIAL_881</x:v>
      </x:c>
      <x:c r="L27" s="21" t="str">
        <x:v>NONE</x:v>
      </x:c>
      <x:c r="M27" s="21" t="str">
        <x:v>154 meaning OPEN</x:v>
      </x:c>
    </x:row>
    <x:row r="28">
      <x:c r="A28" s="21" t="str">
        <x:v>bond.buyable_quantity</x:v>
      </x:c>
      <x:c r="B28" s="21" t="str">
        <x:v>bond</x:v>
      </x:c>
      <x:c r="C28" s="21" t="str">
        <x:v>PRBD01N001</x:v>
      </x:c>
      <x:c r="D28" s="21" t="str">
        <x:v>BUYABLE_QUANTITY</x:v>
      </x:c>
      <x:c r="E28" s="21" t="str">
        <x:v>METRIC</x:v>
      </x:c>
      <x:c r="F28" s="21" t="str">
        <x:v>decimal</x:v>
      </x:c>
      <x:c r="G28" s="21" t="str">
        <x:v>COUNT</x:v>
      </x:c>
      <x:c r="H28" s="21" t="str">
        <x:v>eq|gt|gte|lt|lte|between</x:v>
      </x:c>
      <x:c r="I28" s="21" t="str">
        <x:v>ALLOWED</x:v>
      </x:c>
      <x:c r="J28" s="21" t="str">
        <x:v>ALLOWED_WITH_COVERAGE</x:v>
      </x:c>
      <x:c r="K28" s="21" t="str">
        <x:v>ZERO_VALID_OR_UNAVAILABLE_OPEN</x:v>
      </x:c>
      <x:c r="L28" s="21" t="str">
        <x:v>NONE</x:v>
      </x:c>
      <x:c r="M28" s="21" t="str">
        <x:v>881 present and 325 positive</x:v>
      </x:c>
    </x:row>
    <x:row r="29">
      <x:c r="A29" s="21" t="str">
        <x:v>bond.remaining_days_raw</x:v>
      </x:c>
      <x:c r="B29" s="21" t="str">
        <x:v>bond</x:v>
      </x:c>
      <x:c r="C29" s="21" t="str">
        <x:v>PRBD01N001</x:v>
      </x:c>
      <x:c r="D29" s="21" t="str">
        <x:v>REMAINING_DAYS</x:v>
      </x:c>
      <x:c r="E29" s="21" t="str">
        <x:v>METRIC</x:v>
      </x:c>
      <x:c r="F29" s="21" t="str">
        <x:v>decimal</x:v>
      </x:c>
      <x:c r="G29" s="21" t="str">
        <x:v>DAYS</x:v>
      </x:c>
      <x:c r="H29" s="21" t="str">
        <x:v>eq|gt|gte|lt|lte|between</x:v>
      </x:c>
      <x:c r="I29" s="21" t="str">
        <x:v>ALLOWED</x:v>
      </x:c>
      <x:c r="J29" s="21" t="str">
        <x:v>ALLOWED_WITH_DATE</x:v>
      </x:c>
      <x:c r="K29" s="21" t="str">
        <x:v>STALE_RISK</x:v>
      </x:c>
      <x:c r="L29" s="21" t="str">
        <x:v>PD_STD_INFO_UPDATE</x:v>
      </x:c>
      <x:c r="M29" s="21" t="str">
        <x:v>do not present as 2026-07-11 remaining days</x:v>
      </x:c>
    </x:row>
    <x:row r="30">
      <x:c r="A30" s="21" t="str">
        <x:v>bond.duration</x:v>
      </x:c>
      <x:c r="B30" s="21" t="str">
        <x:v>bond</x:v>
      </x:c>
      <x:c r="C30" s="21" t="str">
        <x:v>PRBD01N001</x:v>
      </x:c>
      <x:c r="D30" s="21" t="str">
        <x:v>DUR</x:v>
      </x:c>
      <x:c r="E30" s="21" t="str">
        <x:v>METRIC</x:v>
      </x:c>
      <x:c r="F30" s="21" t="str">
        <x:v>decimal</x:v>
      </x:c>
      <x:c r="G30" s="21" t="str">
        <x:v>YEARS_PENDING</x:v>
      </x:c>
      <x:c r="H30" s="21" t="str">
        <x:v>eq|gt|gte|lt|lte|between</x:v>
      </x:c>
      <x:c r="I30" s="21" t="str">
        <x:v>ALLOWED</x:v>
      </x:c>
      <x:c r="J30" s="21" t="str">
        <x:v>ALLOWED_WITH_COVERAGE</x:v>
      </x:c>
      <x:c r="K30" s="21" t="str">
        <x:v>ZERO_UNKNOWN</x:v>
      </x:c>
      <x:c r="L30" s="21" t="str">
        <x:v>PD_STD_INFO_UPDATE</x:v>
      </x:c>
      <x:c r="M30" s="21" t="str"/>
    </x:row>
    <x:row r="31">
      <x:c r="A31" s="21" t="str">
        <x:v>bond.convexity</x:v>
      </x:c>
      <x:c r="B31" s="21" t="str">
        <x:v>bond</x:v>
      </x:c>
      <x:c r="C31" s="21" t="str">
        <x:v>PRBD01N001</x:v>
      </x:c>
      <x:c r="D31" s="21" t="str">
        <x:v>COV</x:v>
      </x:c>
      <x:c r="E31" s="21" t="str">
        <x:v>METRIC</x:v>
      </x:c>
      <x:c r="F31" s="21" t="str">
        <x:v>decimal</x:v>
      </x:c>
      <x:c r="G31" s="21" t="str">
        <x:v>UNIT_PENDING</x:v>
      </x:c>
      <x:c r="H31" s="21" t="str">
        <x:v>eq|gt|gte|lt|lte|between</x:v>
      </x:c>
      <x:c r="I31" s="21" t="str">
        <x:v>ALLOWED</x:v>
      </x:c>
      <x:c r="J31" s="21" t="str">
        <x:v>ALLOWED_WITH_COVERAGE</x:v>
      </x:c>
      <x:c r="K31" s="21" t="str">
        <x:v>ZERO_UNKNOWN</x:v>
      </x:c>
      <x:c r="L31" s="21" t="str">
        <x:v>PD_STD_INFO_UPDATE</x:v>
      </x:c>
      <x:c r="M31" s="21" t="str"/>
    </x:row>
    <x:row r="32">
      <x:c r="A32" s="21" t="str">
        <x:v>bond.ndy_duration</x:v>
      </x:c>
      <x:c r="B32" s="21" t="str">
        <x:v>bond</x:v>
      </x:c>
      <x:c r="C32" s="21" t="str">
        <x:v>PRBD01N001</x:v>
      </x:c>
      <x:c r="D32" s="21" t="str">
        <x:v>NDY_DUR</x:v>
      </x:c>
      <x:c r="E32" s="21" t="str">
        <x:v>METRIC</x:v>
      </x:c>
      <x:c r="F32" s="21" t="str">
        <x:v>decimal</x:v>
      </x:c>
      <x:c r="G32" s="21" t="str">
        <x:v>YEARS_PENDING</x:v>
      </x:c>
      <x:c r="H32" s="21" t="str">
        <x:v>eq|gt|gte|lt|lte|between</x:v>
      </x:c>
      <x:c r="I32" s="21" t="str">
        <x:v>PENDING</x:v>
      </x:c>
      <x:c r="J32" s="21" t="str">
        <x:v>BLOCKED_PENDING_SEMANTICS</x:v>
      </x:c>
      <x:c r="K32" s="21" t="str">
        <x:v>ZERO_UNKNOWN</x:v>
      </x:c>
      <x:c r="L32" s="21" t="str">
        <x:v>PD_STD_INFO_UPDATE</x:v>
      </x:c>
      <x:c r="M32" s="21" t="str">
        <x:v>NDY semantics OPEN</x:v>
      </x:c>
    </x:row>
    <x:row r="33">
      <x:c r="A33" s="21" t="str">
        <x:v>bond.ndy_convexity</x:v>
      </x:c>
      <x:c r="B33" s="21" t="str">
        <x:v>bond</x:v>
      </x:c>
      <x:c r="C33" s="21" t="str">
        <x:v>PRBD01N001</x:v>
      </x:c>
      <x:c r="D33" s="21" t="str">
        <x:v>NDY_COV</x:v>
      </x:c>
      <x:c r="E33" s="21" t="str">
        <x:v>METRIC</x:v>
      </x:c>
      <x:c r="F33" s="21" t="str">
        <x:v>decimal</x:v>
      </x:c>
      <x:c r="G33" s="21" t="str">
        <x:v>UNIT_PENDING</x:v>
      </x:c>
      <x:c r="H33" s="21" t="str">
        <x:v>eq|gt|gte|lt|lte|between</x:v>
      </x:c>
      <x:c r="I33" s="21" t="str">
        <x:v>PENDING</x:v>
      </x:c>
      <x:c r="J33" s="21" t="str">
        <x:v>BLOCKED_PENDING_SEMANTICS</x:v>
      </x:c>
      <x:c r="K33" s="21" t="str">
        <x:v>ZERO_UNKNOWN</x:v>
      </x:c>
      <x:c r="L33" s="21" t="str">
        <x:v>PD_STD_INFO_UPDATE</x:v>
      </x:c>
      <x:c r="M33" s="21" t="str">
        <x:v>NDY semantics OPEN</x:v>
      </x:c>
    </x:row>
    <x:row r="34">
      <x:c r="A34" s="21" t="str">
        <x:v>bond.evaluation_price</x:v>
      </x:c>
      <x:c r="B34" s="21" t="str">
        <x:v>bond</x:v>
      </x:c>
      <x:c r="C34" s="21" t="str">
        <x:v>PRBD01N001</x:v>
      </x:c>
      <x:c r="D34" s="21" t="str">
        <x:v>EVAL_PRICE</x:v>
      </x:c>
      <x:c r="E34" s="21" t="str">
        <x:v>METRIC</x:v>
      </x:c>
      <x:c r="F34" s="21" t="str">
        <x:v>decimal</x:v>
      </x:c>
      <x:c r="G34" s="21" t="str">
        <x:v>PRICE_PENDING</x:v>
      </x:c>
      <x:c r="H34" s="21" t="str">
        <x:v>eq|gt|gte|lt|lte|between</x:v>
      </x:c>
      <x:c r="I34" s="21" t="str">
        <x:v>ALLOWED</x:v>
      </x:c>
      <x:c r="J34" s="21" t="str">
        <x:v>ALLOWED_WITH_COVERAGE</x:v>
      </x:c>
      <x:c r="K34" s="21" t="str">
        <x:v>ZERO_UNKNOWN</x:v>
      </x:c>
      <x:c r="L34" s="21" t="str">
        <x:v>PD_STD_INFO_UPDATE</x:v>
      </x:c>
      <x:c r="M34" s="21" t="str">
        <x:v>not realtime</x:v>
      </x:c>
    </x:row>
    <x:row r="35">
      <x:c r="A35" s="21" t="str">
        <x:v>bond.applied_yield</x:v>
      </x:c>
      <x:c r="B35" s="21" t="str">
        <x:v>bond</x:v>
      </x:c>
      <x:c r="C35" s="21" t="str">
        <x:v>PRBD01N001</x:v>
      </x:c>
      <x:c r="D35" s="21" t="str">
        <x:v>APPLIED_YIELD</x:v>
      </x:c>
      <x:c r="E35" s="21" t="str">
        <x:v>METRIC</x:v>
      </x:c>
      <x:c r="F35" s="21" t="str">
        <x:v>decimal</x:v>
      </x:c>
      <x:c r="G35" s="21" t="str">
        <x:v>PERCENTAGE_POINT_PENDING</x:v>
      </x:c>
      <x:c r="H35" s="21" t="str">
        <x:v>eq|gt|gte|lt|lte|between</x:v>
      </x:c>
      <x:c r="I35" s="21" t="str">
        <x:v>ALLOWED</x:v>
      </x:c>
      <x:c r="J35" s="21" t="str">
        <x:v>ALLOWED_WITH_OUTLIER_REVIEW</x:v>
      </x:c>
      <x:c r="K35" s="21" t="str">
        <x:v>SUSPECT_OUTLIER</x:v>
      </x:c>
      <x:c r="L35" s="21" t="str">
        <x:v>PD_STD_INFO_UPDATE</x:v>
      </x:c>
      <x:c r="M35" s="21" t="str">
        <x:v>max 787.327</x:v>
      </x:c>
    </x:row>
    <x:row r="36">
      <x:c r="A36" s="21" t="str">
        <x:v>bond.dirty_price</x:v>
      </x:c>
      <x:c r="B36" s="21" t="str">
        <x:v>bond</x:v>
      </x:c>
      <x:c r="C36" s="21" t="str">
        <x:v>PRBD01N001</x:v>
      </x:c>
      <x:c r="D36" s="21" t="str">
        <x:v>DIRTY</x:v>
      </x:c>
      <x:c r="E36" s="21" t="str">
        <x:v>METRIC</x:v>
      </x:c>
      <x:c r="F36" s="21" t="str">
        <x:v>decimal</x:v>
      </x:c>
      <x:c r="G36" s="21" t="str">
        <x:v>PRICE_PENDING</x:v>
      </x:c>
      <x:c r="H36" s="21" t="str">
        <x:v>eq|gt|gte|lt|lte|between</x:v>
      </x:c>
      <x:c r="I36" s="21" t="str">
        <x:v>PENDING</x:v>
      </x:c>
      <x:c r="J36" s="21" t="str">
        <x:v>BLOCKED_PENDING_SEMANTICS</x:v>
      </x:c>
      <x:c r="K36" s="21" t="str">
        <x:v>ZERO_UNKNOWN</x:v>
      </x:c>
      <x:c r="L36" s="21" t="str">
        <x:v>PD_STD_INFO_UPDATE</x:v>
      </x:c>
      <x:c r="M36" s="21" t="str"/>
    </x:row>
    <x:row r="37">
      <x:c r="A37" s="21" t="str">
        <x:v>bond.ndy_evaluation_price</x:v>
      </x:c>
      <x:c r="B37" s="21" t="str">
        <x:v>bond</x:v>
      </x:c>
      <x:c r="C37" s="21" t="str">
        <x:v>PRBD01N001</x:v>
      </x:c>
      <x:c r="D37" s="21" t="str">
        <x:v>NDY_EVAL_PRICE</x:v>
      </x:c>
      <x:c r="E37" s="21" t="str">
        <x:v>METRIC</x:v>
      </x:c>
      <x:c r="F37" s="21" t="str">
        <x:v>decimal</x:v>
      </x:c>
      <x:c r="G37" s="21" t="str">
        <x:v>PRICE_PENDING</x:v>
      </x:c>
      <x:c r="H37" s="21" t="str">
        <x:v>eq|gt|gte|lt|lte|between</x:v>
      </x:c>
      <x:c r="I37" s="21" t="str">
        <x:v>PENDING</x:v>
      </x:c>
      <x:c r="J37" s="21" t="str">
        <x:v>BLOCKED_PENDING_SEMANTICS</x:v>
      </x:c>
      <x:c r="K37" s="21" t="str">
        <x:v>ZERO_UNKNOWN</x:v>
      </x:c>
      <x:c r="L37" s="21" t="str">
        <x:v>PD_STD_INFO_UPDATE</x:v>
      </x:c>
      <x:c r="M37" s="21" t="str">
        <x:v>NDY semantics OPEN</x:v>
      </x:c>
    </x:row>
    <x:row r="38">
      <x:c r="A38" s="21" t="str">
        <x:v>bond.ndy_applied_yield</x:v>
      </x:c>
      <x:c r="B38" s="21" t="str">
        <x:v>bond</x:v>
      </x:c>
      <x:c r="C38" s="21" t="str">
        <x:v>PRBD01N001</x:v>
      </x:c>
      <x:c r="D38" s="21" t="str">
        <x:v>NDY_APPLIED_YIELD</x:v>
      </x:c>
      <x:c r="E38" s="21" t="str">
        <x:v>METRIC</x:v>
      </x:c>
      <x:c r="F38" s="21" t="str">
        <x:v>decimal</x:v>
      </x:c>
      <x:c r="G38" s="21" t="str">
        <x:v>PERCENTAGE_POINT_PENDING</x:v>
      </x:c>
      <x:c r="H38" s="21" t="str">
        <x:v>eq|gt|gte|lt|lte|between</x:v>
      </x:c>
      <x:c r="I38" s="21" t="str">
        <x:v>PENDING</x:v>
      </x:c>
      <x:c r="J38" s="21" t="str">
        <x:v>BLOCKED_PENDING_SEMANTICS</x:v>
      </x:c>
      <x:c r="K38" s="21" t="str">
        <x:v>SUSPECT_OUTLIER</x:v>
      </x:c>
      <x:c r="L38" s="21" t="str">
        <x:v>PD_STD_INFO_UPDATE</x:v>
      </x:c>
      <x:c r="M38" s="21" t="str">
        <x:v>NDY semantics OPEN</x:v>
      </x:c>
    </x:row>
    <x:row r="39">
      <x:c r="A39" s="21" t="str">
        <x:v>bond.ndy_dirty_price</x:v>
      </x:c>
      <x:c r="B39" s="21" t="str">
        <x:v>bond</x:v>
      </x:c>
      <x:c r="C39" s="21" t="str">
        <x:v>PRBD01N001</x:v>
      </x:c>
      <x:c r="D39" s="21" t="str">
        <x:v>NDY_DIRTY</x:v>
      </x:c>
      <x:c r="E39" s="21" t="str">
        <x:v>METRIC</x:v>
      </x:c>
      <x:c r="F39" s="21" t="str">
        <x:v>decimal</x:v>
      </x:c>
      <x:c r="G39" s="21" t="str">
        <x:v>PRICE_PENDING</x:v>
      </x:c>
      <x:c r="H39" s="21" t="str">
        <x:v>eq|gt|gte|lt|lte|between</x:v>
      </x:c>
      <x:c r="I39" s="21" t="str">
        <x:v>PENDING</x:v>
      </x:c>
      <x:c r="J39" s="21" t="str">
        <x:v>BLOCKED_PENDING_SEMANTICS</x:v>
      </x:c>
      <x:c r="K39" s="21" t="str">
        <x:v>ZERO_UNKNOWN</x:v>
      </x:c>
      <x:c r="L39" s="21" t="str">
        <x:v>PD_STD_INFO_UPDATE</x:v>
      </x:c>
      <x:c r="M39" s="21" t="str">
        <x:v>NDY semantics OPEN</x:v>
      </x:c>
    </x:row>
    <x:row r="40">
      <x:c r="A40" s="21" t="str">
        <x:v>bond.credit_rating</x:v>
      </x:c>
      <x:c r="B40" s="21" t="str">
        <x:v>bond</x:v>
      </x:c>
      <x:c r="C40" s="21" t="str">
        <x:v>PRBD01N001</x:v>
      </x:c>
      <x:c r="D40" s="21" t="str">
        <x:v>CRD_GRD</x:v>
      </x:c>
      <x:c r="E40" s="21" t="str">
        <x:v>DIMENSION</x:v>
      </x:c>
      <x:c r="F40" s="21" t="str">
        <x:v>string</x:v>
      </x:c>
      <x:c r="G40" s="21" t="str">
        <x:v>RATING</x:v>
      </x:c>
      <x:c r="H40" s="21" t="str">
        <x:v>eq|in</x:v>
      </x:c>
      <x:c r="I40" s="21" t="str">
        <x:v>ALLOWED</x:v>
      </x:c>
      <x:c r="J40" s="21" t="str">
        <x:v>BLOCKED_PENDING_ORDER</x:v>
      </x:c>
      <x:c r="K40" s="21" t="str">
        <x:v>MISSING_ALLOWED</x:v>
      </x:c>
      <x:c r="L40" s="21" t="str">
        <x:v>CRD_GRD_DT</x:v>
      </x:c>
      <x:c r="M40" s="21" t="str">
        <x:v>coverage 24750</x:v>
      </x:c>
    </x:row>
    <x:row r="41">
      <x:c r="A41" s="21" t="str">
        <x:v>bond.credit_rating_as_of</x:v>
      </x:c>
      <x:c r="B41" s="21" t="str">
        <x:v>bond</x:v>
      </x:c>
      <x:c r="C41" s="21" t="str">
        <x:v>PRBD01N001</x:v>
      </x:c>
      <x:c r="D41" s="21" t="str">
        <x:v>CRD_GRD_DT</x:v>
      </x:c>
      <x:c r="E41" s="21" t="str">
        <x:v>AS_OF</x:v>
      </x:c>
      <x:c r="F41" s="21" t="str">
        <x:v>date</x:v>
      </x:c>
      <x:c r="G41" s="21" t="str">
        <x:v>YYYYMMDD</x:v>
      </x:c>
      <x:c r="H41" s="21" t="str">
        <x:v>eq|gt|gte|lt|lte|between</x:v>
      </x:c>
      <x:c r="I41" s="21" t="str">
        <x:v>ALLOWED</x:v>
      </x:c>
      <x:c r="J41" s="21" t="str">
        <x:v>ALLOWED</x:v>
      </x:c>
      <x:c r="K41" s="21" t="str">
        <x:v>SENTINEL_0</x:v>
      </x:c>
      <x:c r="L41" s="21" t="str">
        <x:v>NONE</x:v>
      </x:c>
      <x:c r="M41" s="21" t="str"/>
    </x:row>
    <x:row r="42">
      <x:c r="A42" s="21" t="str">
        <x:v>domestic_etp.benchmark</x:v>
      </x:c>
      <x:c r="B42" s="21" t="str">
        <x:v>domestic_etp</x:v>
      </x:c>
      <x:c r="C42" s="21" t="str">
        <x:v>PREF01N001</x:v>
      </x:c>
      <x:c r="D42" s="21" t="str">
        <x:v>cu_base_index</x:v>
      </x:c>
      <x:c r="E42" s="21" t="str">
        <x:v>DIMENSION</x:v>
      </x:c>
      <x:c r="F42" s="21" t="str">
        <x:v>string</x:v>
      </x:c>
      <x:c r="G42" s="21" t="str">
        <x:v>TEXT</x:v>
      </x:c>
      <x:c r="H42" s="21" t="str">
        <x:v>eq|contains|starts_with</x:v>
      </x:c>
      <x:c r="I42" s="21" t="str">
        <x:v>ALLOWED</x:v>
      </x:c>
      <x:c r="J42" s="21" t="str">
        <x:v>BLOCKED_LOW_COVERAGE</x:v>
      </x:c>
      <x:c r="K42" s="21" t="str">
        <x:v>MISSING_ALLOWED</x:v>
      </x:c>
      <x:c r="L42" s="21" t="str">
        <x:v>cu_upt_dt</x:v>
      </x:c>
      <x:c r="M42" s="21" t="str">
        <x:v>58 present</x:v>
      </x:c>
    </x:row>
    <x:row r="43">
      <x:c r="A43" s="21" t="str">
        <x:v>domestic_etp.other_expense_ratio</x:v>
      </x:c>
      <x:c r="B43" s="21" t="str">
        <x:v>domestic_etp</x:v>
      </x:c>
      <x:c r="C43" s="21" t="str">
        <x:v>PREF01N001</x:v>
      </x:c>
      <x:c r="D43" s="21" t="str">
        <x:v>cu_charge_etc_rt</x:v>
      </x:c>
      <x:c r="E43" s="21" t="str">
        <x:v>METRIC</x:v>
      </x:c>
      <x:c r="F43" s="21" t="str">
        <x:v>decimal</x:v>
      </x:c>
      <x:c r="G43" s="21" t="str">
        <x:v>PERCENTAGE_POINT_PENDING</x:v>
      </x:c>
      <x:c r="H43" s="21" t="str">
        <x:v>eq|gt|gte|lt|lte|between</x:v>
      </x:c>
      <x:c r="I43" s="21" t="str">
        <x:v>BLOCKED_CONSTANT</x:v>
      </x:c>
      <x:c r="J43" s="21" t="str">
        <x:v>BLOCKED_CONSTANT</x:v>
      </x:c>
      <x:c r="K43" s="21" t="str">
        <x:v>UNUSABLE_CONSTANT</x:v>
      </x:c>
      <x:c r="L43" s="21" t="str">
        <x:v>cu_upt_dt</x:v>
      </x:c>
      <x:c r="M43" s="21" t="str">
        <x:v>1553 present values all zero</x:v>
      </x:c>
    </x:row>
    <x:row r="44">
      <x:c r="A44" s="21" t="str">
        <x:v>domestic_etp.expense_ratio</x:v>
      </x:c>
      <x:c r="B44" s="21" t="str">
        <x:v>domestic_etp</x:v>
      </x:c>
      <x:c r="C44" s="21" t="str">
        <x:v>PREF01N001</x:v>
      </x:c>
      <x:c r="D44" s="21" t="str">
        <x:v>cu_charge_rt</x:v>
      </x:c>
      <x:c r="E44" s="21" t="str">
        <x:v>METRIC</x:v>
      </x:c>
      <x:c r="F44" s="21" t="str">
        <x:v>decimal</x:v>
      </x:c>
      <x:c r="G44" s="21" t="str">
        <x:v>PERCENTAGE_POINT_PENDING</x:v>
      </x:c>
      <x:c r="H44" s="21" t="str">
        <x:v>eq|gt|gte|lt|lte|between</x:v>
      </x:c>
      <x:c r="I44" s="21" t="str">
        <x:v>ALLOWED</x:v>
      </x:c>
      <x:c r="J44" s="21" t="str">
        <x:v>BLOCKED_PENDING_ZERO_POLICY</x:v>
      </x:c>
      <x:c r="K44" s="21" t="str">
        <x:v>ZERO_UNKNOWN</x:v>
      </x:c>
      <x:c r="L44" s="21" t="str">
        <x:v>cu_upt_dt</x:v>
      </x:c>
      <x:c r="M44" s="21" t="str">
        <x:v>source schema declares text</x:v>
      </x:c>
    </x:row>
    <x:row r="45">
      <x:c r="A45" s="21" t="str">
        <x:v>product.manager</x:v>
      </x:c>
      <x:c r="B45" s="21" t="str">
        <x:v>domestic_etp</x:v>
      </x:c>
      <x:c r="C45" s="21" t="str">
        <x:v>PREF01N001</x:v>
      </x:c>
      <x:c r="D45" s="21" t="str">
        <x:v>cu_fund_mgmt_co</x:v>
      </x:c>
      <x:c r="E45" s="21" t="str">
        <x:v>DIMENSION</x:v>
      </x:c>
      <x:c r="F45" s="21" t="str">
        <x:v>string</x:v>
      </x:c>
      <x:c r="G45" s="21" t="str">
        <x:v>TEXT</x:v>
      </x:c>
      <x:c r="H45" s="21" t="str">
        <x:v>eq|contains|starts_with</x:v>
      </x:c>
      <x:c r="I45" s="21" t="str">
        <x:v>ALLOWED</x:v>
      </x:c>
      <x:c r="J45" s="21" t="str">
        <x:v>ALLOWED</x:v>
      </x:c>
      <x:c r="K45" s="21" t="str">
        <x:v>VALID</x:v>
      </x:c>
      <x:c r="L45" s="21" t="str">
        <x:v>cu_upt_dt</x:v>
      </x:c>
      <x:c r="M45" s="21" t="str"/>
    </x:row>
    <x:row r="46">
      <x:c r="A46" s="21" t="str">
        <x:v>domestic_etp.leverage_factor</x:v>
      </x:c>
      <x:c r="B46" s="21" t="str">
        <x:v>domestic_etp</x:v>
      </x:c>
      <x:c r="C46" s="21" t="str">
        <x:v>PREF01N001</x:v>
      </x:c>
      <x:c r="D46" s="21" t="str">
        <x:v>cu_lev_fector</x:v>
      </x:c>
      <x:c r="E46" s="21" t="str">
        <x:v>DIMENSION</x:v>
      </x:c>
      <x:c r="F46" s="21" t="str">
        <x:v>decimal</x:v>
      </x:c>
      <x:c r="G46" s="21" t="str">
        <x:v>MULTIPLE</x:v>
      </x:c>
      <x:c r="H46" s="21" t="str">
        <x:v>eq|gt|gte|lt|lte|between</x:v>
      </x:c>
      <x:c r="I46" s="21" t="str">
        <x:v>ALLOWED</x:v>
      </x:c>
      <x:c r="J46" s="21" t="str">
        <x:v>ALLOWED</x:v>
      </x:c>
      <x:c r="K46" s="21" t="str">
        <x:v>MISSING_ALLOWED</x:v>
      </x:c>
      <x:c r="L46" s="21" t="str">
        <x:v>cu_upt_dt</x:v>
      </x:c>
      <x:c r="M46" s="21" t="str">
        <x:v>source schema declares text</x:v>
      </x:c>
    </x:row>
    <x:row r="47">
      <x:c r="A47" s="21" t="str">
        <x:v>domestic_etp.strategy</x:v>
      </x:c>
      <x:c r="B47" s="21" t="str">
        <x:v>domestic_etp</x:v>
      </x:c>
      <x:c r="C47" s="21" t="str">
        <x:v>PREF01N001</x:v>
      </x:c>
      <x:c r="D47" s="21" t="str">
        <x:v>cu_strtegy</x:v>
      </x:c>
      <x:c r="E47" s="21" t="str">
        <x:v>DIMENSION</x:v>
      </x:c>
      <x:c r="F47" s="21" t="str">
        <x:v>string</x:v>
      </x:c>
      <x:c r="G47" s="21" t="str">
        <x:v>CATEGORY</x:v>
      </x:c>
      <x:c r="H47" s="21" t="str">
        <x:v>eq|in|contains</x:v>
      </x:c>
      <x:c r="I47" s="21" t="str">
        <x:v>ALLOWED</x:v>
      </x:c>
      <x:c r="J47" s="21" t="str">
        <x:v>ALLOWED</x:v>
      </x:c>
      <x:c r="K47" s="21" t="str">
        <x:v>MISSING_ALLOWED</x:v>
      </x:c>
      <x:c r="L47" s="21" t="str">
        <x:v>cu_upt_dt</x:v>
      </x:c>
      <x:c r="M47" s="21" t="str">
        <x:v>C value meaning OPEN</x:v>
      </x:c>
    </x:row>
    <x:row r="48">
      <x:c r="A48" s="21" t="str">
        <x:v>domestic_etp.control_as_of</x:v>
      </x:c>
      <x:c r="B48" s="21" t="str">
        <x:v>domestic_etp</x:v>
      </x:c>
      <x:c r="C48" s="21" t="str">
        <x:v>PREF01N001</x:v>
      </x:c>
      <x:c r="D48" s="21" t="str">
        <x:v>cu_upt_dt</x:v>
      </x:c>
      <x:c r="E48" s="21" t="str">
        <x:v>AS_OF</x:v>
      </x:c>
      <x:c r="F48" s="21" t="str">
        <x:v>date</x:v>
      </x:c>
      <x:c r="G48" s="21" t="str">
        <x:v>YYYYMMDD</x:v>
      </x:c>
      <x:c r="H48" s="21" t="str">
        <x:v>eq|gt|gte|lt|lte|between</x:v>
      </x:c>
      <x:c r="I48" s="21" t="str">
        <x:v>ALLOWED</x:v>
      </x:c>
      <x:c r="J48" s="21" t="str">
        <x:v>ALLOWED</x:v>
      </x:c>
      <x:c r="K48" s="21" t="str">
        <x:v>MISSING_ALLOWED</x:v>
      </x:c>
      <x:c r="L48" s="21" t="str">
        <x:v>NONE</x:v>
      </x:c>
      <x:c r="M48" s="21" t="str"/>
    </x:row>
    <x:row r="49">
      <x:c r="A49" s="21" t="str">
        <x:v>domestic_etp.base_price</x:v>
      </x:c>
      <x:c r="B49" s="21" t="str">
        <x:v>domestic_etp</x:v>
      </x:c>
      <x:c r="C49" s="21" t="str">
        <x:v>PREF01N001</x:v>
      </x:c>
      <x:c r="D49" s="21" t="str">
        <x:v>du_bpr</x:v>
      </x:c>
      <x:c r="E49" s="21" t="str">
        <x:v>METRIC</x:v>
      </x:c>
      <x:c r="F49" s="21" t="str">
        <x:v>decimal</x:v>
      </x:c>
      <x:c r="G49" s="21" t="str">
        <x:v>KRW_PRICE_PENDING</x:v>
      </x:c>
      <x:c r="H49" s="21" t="str">
        <x:v>eq|gt|gte|lt|lte|between</x:v>
      </x:c>
      <x:c r="I49" s="21" t="str">
        <x:v>ALLOWED</x:v>
      </x:c>
      <x:c r="J49" s="21" t="str">
        <x:v>ALLOWED_WITH_DATE</x:v>
      </x:c>
      <x:c r="K49" s="21" t="str">
        <x:v>ZERO_UNKNOWN</x:v>
      </x:c>
      <x:c r="L49" s="21" t="str">
        <x:v>du_upt_dt</x:v>
      </x:c>
      <x:c r="M49" s="21" t="str"/>
    </x:row>
    <x:row r="50">
      <x:c r="A50" s="21" t="str">
        <x:v>domestic_etp.tracking_error</x:v>
      </x:c>
      <x:c r="B50" s="21" t="str">
        <x:v>domestic_etp</x:v>
      </x:c>
      <x:c r="C50" s="21" t="str">
        <x:v>PREF01N001</x:v>
      </x:c>
      <x:c r="D50" s="21" t="str">
        <x:v>du_chas_errt</x:v>
      </x:c>
      <x:c r="E50" s="21" t="str">
        <x:v>METRIC</x:v>
      </x:c>
      <x:c r="F50" s="21" t="str">
        <x:v>decimal</x:v>
      </x:c>
      <x:c r="G50" s="21" t="str">
        <x:v>PERCENTAGE_POINT_PENDING</x:v>
      </x:c>
      <x:c r="H50" s="21" t="str">
        <x:v>eq|gt|gte|lt|lte|between</x:v>
      </x:c>
      <x:c r="I50" s="21" t="str">
        <x:v>BLOCKED_CONSTANT</x:v>
      </x:c>
      <x:c r="J50" s="21" t="str">
        <x:v>BLOCKED_CONSTANT</x:v>
      </x:c>
      <x:c r="K50" s="21" t="str">
        <x:v>UNUSABLE_CONSTANT</x:v>
      </x:c>
      <x:c r="L50" s="21" t="str">
        <x:v>du_upt_dt</x:v>
      </x:c>
      <x:c r="M50" s="21" t="str"/>
    </x:row>
    <x:row r="51">
      <x:c r="A51" s="21" t="str">
        <x:v>domestic_etp.close_price</x:v>
      </x:c>
      <x:c r="B51" s="21" t="str">
        <x:v>domestic_etp</x:v>
      </x:c>
      <x:c r="C51" s="21" t="str">
        <x:v>PREF01N001</x:v>
      </x:c>
      <x:c r="D51" s="21" t="str">
        <x:v>du_clpr</x:v>
      </x:c>
      <x:c r="E51" s="21" t="str">
        <x:v>METRIC</x:v>
      </x:c>
      <x:c r="F51" s="21" t="str">
        <x:v>decimal</x:v>
      </x:c>
      <x:c r="G51" s="21" t="str">
        <x:v>KRW_PRICE_PENDING</x:v>
      </x:c>
      <x:c r="H51" s="21" t="str">
        <x:v>eq|gt|gte|lt|lte|between</x:v>
      </x:c>
      <x:c r="I51" s="21" t="str">
        <x:v>ALLOWED</x:v>
      </x:c>
      <x:c r="J51" s="21" t="str">
        <x:v>ALLOWED_WITH_DATE</x:v>
      </x:c>
      <x:c r="K51" s="21" t="str">
        <x:v>ZERO_UNKNOWN</x:v>
      </x:c>
      <x:c r="L51" s="21" t="str">
        <x:v>du_upt_dt</x:v>
      </x:c>
      <x:c r="M51" s="21" t="str">
        <x:v>not realtime</x:v>
      </x:c>
    </x:row>
    <x:row r="52">
      <x:c r="A52" s="21" t="str">
        <x:v>domestic_etp.discrepancy_rate</x:v>
      </x:c>
      <x:c r="B52" s="21" t="str">
        <x:v>domestic_etp</x:v>
      </x:c>
      <x:c r="C52" s="21" t="str">
        <x:v>PREF01N001</x:v>
      </x:c>
      <x:c r="D52" s="21" t="str">
        <x:v>du_diff_rt</x:v>
      </x:c>
      <x:c r="E52" s="21" t="str">
        <x:v>METRIC</x:v>
      </x:c>
      <x:c r="F52" s="21" t="str">
        <x:v>decimal</x:v>
      </x:c>
      <x:c r="G52" s="21" t="str">
        <x:v>PERCENTAGE_POINT_PENDING</x:v>
      </x:c>
      <x:c r="H52" s="21" t="str">
        <x:v>eq|gt|gte|lt|lte|between</x:v>
      </x:c>
      <x:c r="I52" s="21" t="str">
        <x:v>BLOCKED_CONSTANT</x:v>
      </x:c>
      <x:c r="J52" s="21" t="str">
        <x:v>BLOCKED_CONSTANT</x:v>
      </x:c>
      <x:c r="K52" s="21" t="str">
        <x:v>UNUSABLE_CONSTANT</x:v>
      </x:c>
      <x:c r="L52" s="21" t="str">
        <x:v>du_upt_dt</x:v>
      </x:c>
      <x:c r="M52" s="21" t="str"/>
    </x:row>
    <x:row r="53">
      <x:c r="A53" s="21" t="str">
        <x:v>domestic_etp.return_1d</x:v>
      </x:c>
      <x:c r="B53" s="21" t="str">
        <x:v>domestic_etp</x:v>
      </x:c>
      <x:c r="C53" s="21" t="str">
        <x:v>PREF01N001</x:v>
      </x:c>
      <x:c r="D53" s="21" t="str">
        <x:v>du_er_1d</x:v>
      </x:c>
      <x:c r="E53" s="21" t="str">
        <x:v>METRIC</x:v>
      </x:c>
      <x:c r="F53" s="21" t="str">
        <x:v>decimal</x:v>
      </x:c>
      <x:c r="G53" s="21" t="str">
        <x:v>PERCENTAGE_POINT_PENDING</x:v>
      </x:c>
      <x:c r="H53" s="21" t="str">
        <x:v>eq|gt|gte|lt|lte|between</x:v>
      </x:c>
      <x:c r="I53" s="21" t="str">
        <x:v>ALLOWED</x:v>
      </x:c>
      <x:c r="J53" s="21" t="str">
        <x:v>ALLOWED_WITH_COVERAGE</x:v>
      </x:c>
      <x:c r="K53" s="21" t="str">
        <x:v>ZERO_VALID_PENDING</x:v>
      </x:c>
      <x:c r="L53" s="21" t="str">
        <x:v>du_upt_dt</x:v>
      </x:c>
      <x:c r="M53" s="21" t="str"/>
    </x:row>
    <x:row r="54">
      <x:c r="A54" s="21" t="str">
        <x:v>domestic_etp.return_1m</x:v>
      </x:c>
      <x:c r="B54" s="21" t="str">
        <x:v>domestic_etp</x:v>
      </x:c>
      <x:c r="C54" s="21" t="str">
        <x:v>PREF01N001</x:v>
      </x:c>
      <x:c r="D54" s="21" t="str">
        <x:v>du_er_1m</x:v>
      </x:c>
      <x:c r="E54" s="21" t="str">
        <x:v>METRIC</x:v>
      </x:c>
      <x:c r="F54" s="21" t="str">
        <x:v>decimal</x:v>
      </x:c>
      <x:c r="G54" s="21" t="str">
        <x:v>PERCENTAGE_POINT_PENDING</x:v>
      </x:c>
      <x:c r="H54" s="21" t="str">
        <x:v>eq|gt|gte|lt|lte|between</x:v>
      </x:c>
      <x:c r="I54" s="21" t="str">
        <x:v>ALLOWED</x:v>
      </x:c>
      <x:c r="J54" s="21" t="str">
        <x:v>ALLOWED_WITH_OUTLIER_REVIEW</x:v>
      </x:c>
      <x:c r="K54" s="21" t="str">
        <x:v>SENTINEL_MINUS_100_OPEN</x:v>
      </x:c>
      <x:c r="L54" s="21" t="str">
        <x:v>du_upt_dt</x:v>
      </x:c>
      <x:c r="M54" s="21" t="str"/>
    </x:row>
    <x:row r="55">
      <x:c r="A55" s="21" t="str">
        <x:v>domestic_etp.return_1y</x:v>
      </x:c>
      <x:c r="B55" s="21" t="str">
        <x:v>domestic_etp</x:v>
      </x:c>
      <x:c r="C55" s="21" t="str">
        <x:v>PREF01N001</x:v>
      </x:c>
      <x:c r="D55" s="21" t="str">
        <x:v>du_er_1y</x:v>
      </x:c>
      <x:c r="E55" s="21" t="str">
        <x:v>METRIC</x:v>
      </x:c>
      <x:c r="F55" s="21" t="str">
        <x:v>decimal</x:v>
      </x:c>
      <x:c r="G55" s="21" t="str">
        <x:v>PERCENTAGE_POINT_PENDING</x:v>
      </x:c>
      <x:c r="H55" s="21" t="str">
        <x:v>eq|gt|gte|lt|lte|between</x:v>
      </x:c>
      <x:c r="I55" s="21" t="str">
        <x:v>ALLOWED</x:v>
      </x:c>
      <x:c r="J55" s="21" t="str">
        <x:v>ALLOWED_WITH_OUTLIER_REVIEW</x:v>
      </x:c>
      <x:c r="K55" s="21" t="str">
        <x:v>SENTINEL_MINUS_100_OPEN</x:v>
      </x:c>
      <x:c r="L55" s="21" t="str">
        <x:v>du_upt_dt</x:v>
      </x:c>
      <x:c r="M55" s="21" t="str"/>
    </x:row>
    <x:row r="56">
      <x:c r="A56" s="21" t="str">
        <x:v>domestic_etp.return_3m</x:v>
      </x:c>
      <x:c r="B56" s="21" t="str">
        <x:v>domestic_etp</x:v>
      </x:c>
      <x:c r="C56" s="21" t="str">
        <x:v>PREF01N001</x:v>
      </x:c>
      <x:c r="D56" s="21" t="str">
        <x:v>du_er_3m</x:v>
      </x:c>
      <x:c r="E56" s="21" t="str">
        <x:v>METRIC</x:v>
      </x:c>
      <x:c r="F56" s="21" t="str">
        <x:v>decimal</x:v>
      </x:c>
      <x:c r="G56" s="21" t="str">
        <x:v>PERCENTAGE_POINT_PENDING</x:v>
      </x:c>
      <x:c r="H56" s="21" t="str">
        <x:v>eq|gt|gte|lt|lte|between</x:v>
      </x:c>
      <x:c r="I56" s="21" t="str">
        <x:v>ALLOWED</x:v>
      </x:c>
      <x:c r="J56" s="21" t="str">
        <x:v>ALLOWED_WITH_OUTLIER_REVIEW</x:v>
      </x:c>
      <x:c r="K56" s="21" t="str">
        <x:v>SENTINEL_MINUS_100_OPEN</x:v>
      </x:c>
      <x:c r="L56" s="21" t="str">
        <x:v>du_upt_dt</x:v>
      </x:c>
      <x:c r="M56" s="21" t="str"/>
    </x:row>
    <x:row r="57">
      <x:c r="A57" s="21" t="str">
        <x:v>domestic_etp.return_6m</x:v>
      </x:c>
      <x:c r="B57" s="21" t="str">
        <x:v>domestic_etp</x:v>
      </x:c>
      <x:c r="C57" s="21" t="str">
        <x:v>PREF01N001</x:v>
      </x:c>
      <x:c r="D57" s="21" t="str">
        <x:v>du_er_6m</x:v>
      </x:c>
      <x:c r="E57" s="21" t="str">
        <x:v>METRIC</x:v>
      </x:c>
      <x:c r="F57" s="21" t="str">
        <x:v>decimal</x:v>
      </x:c>
      <x:c r="G57" s="21" t="str">
        <x:v>PERCENTAGE_POINT_PENDING</x:v>
      </x:c>
      <x:c r="H57" s="21" t="str">
        <x:v>eq|gt|gte|lt|lte|between</x:v>
      </x:c>
      <x:c r="I57" s="21" t="str">
        <x:v>ALLOWED</x:v>
      </x:c>
      <x:c r="J57" s="21" t="str">
        <x:v>ALLOWED_WITH_OUTLIER_REVIEW</x:v>
      </x:c>
      <x:c r="K57" s="21" t="str">
        <x:v>SENTINEL_MINUS_100_OPEN</x:v>
      </x:c>
      <x:c r="L57" s="21" t="str">
        <x:v>du_upt_dt</x:v>
      </x:c>
      <x:c r="M57" s="21" t="str"/>
    </x:row>
    <x:row r="58">
      <x:c r="A58" s="21" t="str">
        <x:v>domestic_etp.return_ytd</x:v>
      </x:c>
      <x:c r="B58" s="21" t="str">
        <x:v>domestic_etp</x:v>
      </x:c>
      <x:c r="C58" s="21" t="str">
        <x:v>PREF01N001</x:v>
      </x:c>
      <x:c r="D58" s="21" t="str">
        <x:v>du_er_ytd</x:v>
      </x:c>
      <x:c r="E58" s="21" t="str">
        <x:v>METRIC</x:v>
      </x:c>
      <x:c r="F58" s="21" t="str">
        <x:v>decimal</x:v>
      </x:c>
      <x:c r="G58" s="21" t="str">
        <x:v>PERCENTAGE_POINT_PENDING</x:v>
      </x:c>
      <x:c r="H58" s="21" t="str">
        <x:v>eq|gt|gte|lt|lte|between</x:v>
      </x:c>
      <x:c r="I58" s="21" t="str">
        <x:v>ALLOWED</x:v>
      </x:c>
      <x:c r="J58" s="21" t="str">
        <x:v>ALLOWED_WITH_OUTLIER_REVIEW</x:v>
      </x:c>
      <x:c r="K58" s="21" t="str">
        <x:v>SENTINEL_MINUS_100_OPEN</x:v>
      </x:c>
      <x:c r="L58" s="21" t="str">
        <x:v>du_upt_dt</x:v>
      </x:c>
      <x:c r="M58" s="21" t="str">
        <x:v>same as-of required</x:v>
      </x:c>
    </x:row>
    <x:row r="59">
      <x:c r="A59" s="21" t="str">
        <x:v>domestic_etp.high_price</x:v>
      </x:c>
      <x:c r="B59" s="21" t="str">
        <x:v>domestic_etp</x:v>
      </x:c>
      <x:c r="C59" s="21" t="str">
        <x:v>PREF01N001</x:v>
      </x:c>
      <x:c r="D59" s="21" t="str">
        <x:v>du_hpr</x:v>
      </x:c>
      <x:c r="E59" s="21" t="str">
        <x:v>METRIC</x:v>
      </x:c>
      <x:c r="F59" s="21" t="str">
        <x:v>decimal</x:v>
      </x:c>
      <x:c r="G59" s="21" t="str">
        <x:v>KRW_PRICE_PENDING</x:v>
      </x:c>
      <x:c r="H59" s="21" t="str">
        <x:v>eq|gt|gte|lt|lte|between</x:v>
      </x:c>
      <x:c r="I59" s="21" t="str">
        <x:v>ALLOWED</x:v>
      </x:c>
      <x:c r="J59" s="21" t="str">
        <x:v>ALLOWED_WITH_DATE</x:v>
      </x:c>
      <x:c r="K59" s="21" t="str">
        <x:v>ZERO_UNKNOWN</x:v>
      </x:c>
      <x:c r="L59" s="21" t="str">
        <x:v>du_upt_dt</x:v>
      </x:c>
      <x:c r="M59" s="21" t="str"/>
    </x:row>
    <x:row r="60">
      <x:c r="A60" s="21" t="str">
        <x:v>domestic_etp.aum_last</x:v>
      </x:c>
      <x:c r="B60" s="21" t="str">
        <x:v>domestic_etp</x:v>
      </x:c>
      <x:c r="C60" s="21" t="str">
        <x:v>PREF01N001</x:v>
      </x:c>
      <x:c r="D60" s="21" t="str">
        <x:v>du_last_aum</x:v>
      </x:c>
      <x:c r="E60" s="21" t="str">
        <x:v>METRIC</x:v>
      </x:c>
      <x:c r="F60" s="21" t="str">
        <x:v>decimal</x:v>
      </x:c>
      <x:c r="G60" s="21" t="str">
        <x:v>KRW_PENDING</x:v>
      </x:c>
      <x:c r="H60" s="21" t="str">
        <x:v>eq|gt|gte|lt|lte|between</x:v>
      </x:c>
      <x:c r="I60" s="21" t="str">
        <x:v>ALLOWED</x:v>
      </x:c>
      <x:c r="J60" s="21" t="str">
        <x:v>TYPE_CONDITIONAL</x:v>
      </x:c>
      <x:c r="K60" s="21" t="str">
        <x:v>ZERO_UNKNOWN</x:v>
      </x:c>
      <x:c r="L60" s="21" t="str">
        <x:v>du_upt_dt</x:v>
      </x:c>
      <x:c r="M60" s="21" t="str">
        <x:v>ETN present values all zero</x:v>
      </x:c>
    </x:row>
    <x:row r="61">
      <x:c r="A61" s="21" t="str">
        <x:v>domestic_etp.nav_last</x:v>
      </x:c>
      <x:c r="B61" s="21" t="str">
        <x:v>domestic_etp</x:v>
      </x:c>
      <x:c r="C61" s="21" t="str">
        <x:v>PREF01N001</x:v>
      </x:c>
      <x:c r="D61" s="21" t="str">
        <x:v>du_last_nav</x:v>
      </x:c>
      <x:c r="E61" s="21" t="str">
        <x:v>METRIC</x:v>
      </x:c>
      <x:c r="F61" s="21" t="str">
        <x:v>decimal</x:v>
      </x:c>
      <x:c r="G61" s="21" t="str">
        <x:v>KRW_PRICE_PENDING</x:v>
      </x:c>
      <x:c r="H61" s="21" t="str">
        <x:v>eq|gt|gte|lt|lte|between</x:v>
      </x:c>
      <x:c r="I61" s="21" t="str">
        <x:v>ALLOWED</x:v>
      </x:c>
      <x:c r="J61" s="21" t="str">
        <x:v>ALLOWED_WITH_COVERAGE</x:v>
      </x:c>
      <x:c r="K61" s="21" t="str">
        <x:v>VALID</x:v>
      </x:c>
      <x:c r="L61" s="21" t="str">
        <x:v>du_upt_dt</x:v>
      </x:c>
      <x:c r="M61" s="21" t="str"/>
    </x:row>
    <x:row r="62">
      <x:c r="A62" s="21" t="str">
        <x:v>domestic_etp.low_or_open_price</x:v>
      </x:c>
      <x:c r="B62" s="21" t="str">
        <x:v>domestic_etp</x:v>
      </x:c>
      <x:c r="C62" s="21" t="str">
        <x:v>PREF01N001</x:v>
      </x:c>
      <x:c r="D62" s="21" t="str">
        <x:v>du_lpr</x:v>
      </x:c>
      <x:c r="E62" s="21" t="str">
        <x:v>METRIC</x:v>
      </x:c>
      <x:c r="F62" s="21" t="str">
        <x:v>decimal</x:v>
      </x:c>
      <x:c r="G62" s="21" t="str">
        <x:v>KRW_PRICE_PENDING</x:v>
      </x:c>
      <x:c r="H62" s="21" t="str">
        <x:v>eq|gt|gte|lt|lte|between</x:v>
      </x:c>
      <x:c r="I62" s="21" t="str">
        <x:v>PENDING</x:v>
      </x:c>
      <x:c r="J62" s="21" t="str">
        <x:v>BLOCKED_PENDING_SEMANTICS</x:v>
      </x:c>
      <x:c r="K62" s="21" t="str">
        <x:v>ZERO_UNKNOWN</x:v>
      </x:c>
      <x:c r="L62" s="21" t="str">
        <x:v>du_upt_dt</x:v>
      </x:c>
      <x:c r="M62" s="21" t="str">
        <x:v>source Korean label says open price but field name suggests low price</x:v>
      </x:c>
    </x:row>
    <x:row r="63">
      <x:c r="A63" s="21" t="str">
        <x:v>domestic_etp.nav_change_amount</x:v>
      </x:c>
      <x:c r="B63" s="21" t="str">
        <x:v>domestic_etp</x:v>
      </x:c>
      <x:c r="C63" s="21" t="str">
        <x:v>PREF01N001</x:v>
      </x:c>
      <x:c r="D63" s="21" t="str">
        <x:v>du_nav_rnf_amt</x:v>
      </x:c>
      <x:c r="E63" s="21" t="str">
        <x:v>METRIC</x:v>
      </x:c>
      <x:c r="F63" s="21" t="str">
        <x:v>decimal</x:v>
      </x:c>
      <x:c r="G63" s="21" t="str">
        <x:v>KRW_PRICE_PENDING</x:v>
      </x:c>
      <x:c r="H63" s="21" t="str">
        <x:v>eq|gt|gte|lt|lte|between</x:v>
      </x:c>
      <x:c r="I63" s="21" t="str">
        <x:v>ALLOWED</x:v>
      </x:c>
      <x:c r="J63" s="21" t="str">
        <x:v>ALLOWED_WITH_DATE</x:v>
      </x:c>
      <x:c r="K63" s="21" t="str">
        <x:v>VALID</x:v>
      </x:c>
      <x:c r="L63" s="21" t="str">
        <x:v>du_upt_dt</x:v>
      </x:c>
      <x:c r="M63" s="21" t="str"/>
    </x:row>
    <x:row r="64">
      <x:c r="A64" s="21" t="str">
        <x:v>domestic_etp.nav_previous</x:v>
      </x:c>
      <x:c r="B64" s="21" t="str">
        <x:v>domestic_etp</x:v>
      </x:c>
      <x:c r="C64" s="21" t="str">
        <x:v>PREF01N001</x:v>
      </x:c>
      <x:c r="D64" s="21" t="str">
        <x:v>du_nav_yday</x:v>
      </x:c>
      <x:c r="E64" s="21" t="str">
        <x:v>METRIC</x:v>
      </x:c>
      <x:c r="F64" s="21" t="str">
        <x:v>decimal</x:v>
      </x:c>
      <x:c r="G64" s="21" t="str">
        <x:v>KRW_PRICE_PENDING</x:v>
      </x:c>
      <x:c r="H64" s="21" t="str">
        <x:v>eq|gt|gte|lt|lte|between</x:v>
      </x:c>
      <x:c r="I64" s="21" t="str">
        <x:v>ALLOWED</x:v>
      </x:c>
      <x:c r="J64" s="21" t="str">
        <x:v>ALLOWED_WITH_DATE</x:v>
      </x:c>
      <x:c r="K64" s="21" t="str">
        <x:v>VALID</x:v>
      </x:c>
      <x:c r="L64" s="21" t="str">
        <x:v>du_upt_dt</x:v>
      </x:c>
      <x:c r="M64" s="21" t="str"/>
    </x:row>
    <x:row r="65">
      <x:c r="A65" s="21" t="str">
        <x:v>domestic_etp.daily_as_of</x:v>
      </x:c>
      <x:c r="B65" s="21" t="str">
        <x:v>domestic_etp</x:v>
      </x:c>
      <x:c r="C65" s="21" t="str">
        <x:v>PREF01N001</x:v>
      </x:c>
      <x:c r="D65" s="21" t="str">
        <x:v>du_upt_dt</x:v>
      </x:c>
      <x:c r="E65" s="21" t="str">
        <x:v>AS_OF</x:v>
      </x:c>
      <x:c r="F65" s="21" t="str">
        <x:v>timestamp</x:v>
      </x:c>
      <x:c r="G65" s="21" t="str">
        <x:v>TIMESTAMP</x:v>
      </x:c>
      <x:c r="H65" s="21" t="str">
        <x:v>eq|gt|gte|lt|lte|between</x:v>
      </x:c>
      <x:c r="I65" s="21" t="str">
        <x:v>ALLOWED</x:v>
      </x:c>
      <x:c r="J65" s="21" t="str">
        <x:v>ALLOWED</x:v>
      </x:c>
      <x:c r="K65" s="21" t="str">
        <x:v>VALID</x:v>
      </x:c>
      <x:c r="L65" s="21" t="str">
        <x:v>NONE</x:v>
      </x:c>
      <x:c r="M65" s="21" t="str"/>
    </x:row>
    <x:row r="66">
      <x:c r="A66" s="21" t="str">
        <x:v>domestic_etp.trading_value_1d</x:v>
      </x:c>
      <x:c r="B66" s="21" t="str">
        <x:v>domestic_etp</x:v>
      </x:c>
      <x:c r="C66" s="21" t="str">
        <x:v>PREF01N001</x:v>
      </x:c>
      <x:c r="D66" s="21" t="str">
        <x:v>du_val_1d</x:v>
      </x:c>
      <x:c r="E66" s="21" t="str">
        <x:v>METRIC</x:v>
      </x:c>
      <x:c r="F66" s="21" t="str">
        <x:v>decimal</x:v>
      </x:c>
      <x:c r="G66" s="21" t="str">
        <x:v>KRW_PENDING</x:v>
      </x:c>
      <x:c r="H66" s="21" t="str">
        <x:v>eq|gt|gte|lt|lte|between</x:v>
      </x:c>
      <x:c r="I66" s="21" t="str">
        <x:v>ALLOWED</x:v>
      </x:c>
      <x:c r="J66" s="21" t="str">
        <x:v>ALLOWED_WITH_DATE</x:v>
      </x:c>
      <x:c r="K66" s="21" t="str">
        <x:v>ZERO_VALID_PENDING</x:v>
      </x:c>
      <x:c r="L66" s="21" t="str">
        <x:v>du_upt_dt</x:v>
      </x:c>
      <x:c r="M66" s="21" t="str"/>
    </x:row>
    <x:row r="67">
      <x:c r="A67" s="21" t="str">
        <x:v>domestic_etp.trading_value_avg_1m</x:v>
      </x:c>
      <x:c r="B67" s="21" t="str">
        <x:v>domestic_etp</x:v>
      </x:c>
      <x:c r="C67" s="21" t="str">
        <x:v>PREF01N001</x:v>
      </x:c>
      <x:c r="D67" s="21" t="str">
        <x:v>du_val_1m</x:v>
      </x:c>
      <x:c r="E67" s="21" t="str">
        <x:v>METRIC</x:v>
      </x:c>
      <x:c r="F67" s="21" t="str">
        <x:v>decimal</x:v>
      </x:c>
      <x:c r="G67" s="21" t="str">
        <x:v>KRW_PENDING</x:v>
      </x:c>
      <x:c r="H67" s="21" t="str">
        <x:v>eq|gt|gte|lt|lte|between</x:v>
      </x:c>
      <x:c r="I67" s="21" t="str">
        <x:v>ALLOWED</x:v>
      </x:c>
      <x:c r="J67" s="21" t="str">
        <x:v>ALLOWED_WITH_DATE</x:v>
      </x:c>
      <x:c r="K67" s="21" t="str">
        <x:v>ZERO_VALID_PENDING</x:v>
      </x:c>
      <x:c r="L67" s="21" t="str">
        <x:v>du_upt_dt</x:v>
      </x:c>
      <x:c r="M67" s="21" t="str"/>
    </x:row>
    <x:row r="68">
      <x:c r="A68" s="21" t="str">
        <x:v>domestic_etp.trading_value_avg_5d</x:v>
      </x:c>
      <x:c r="B68" s="21" t="str">
        <x:v>domestic_etp</x:v>
      </x:c>
      <x:c r="C68" s="21" t="str">
        <x:v>PREF01N001</x:v>
      </x:c>
      <x:c r="D68" s="21" t="str">
        <x:v>du_val_5d</x:v>
      </x:c>
      <x:c r="E68" s="21" t="str">
        <x:v>METRIC</x:v>
      </x:c>
      <x:c r="F68" s="21" t="str">
        <x:v>decimal</x:v>
      </x:c>
      <x:c r="G68" s="21" t="str">
        <x:v>KRW_PENDING</x:v>
      </x:c>
      <x:c r="H68" s="21" t="str">
        <x:v>eq|gt|gte|lt|lte|between</x:v>
      </x:c>
      <x:c r="I68" s="21" t="str">
        <x:v>ALLOWED</x:v>
      </x:c>
      <x:c r="J68" s="21" t="str">
        <x:v>ALLOWED_WITH_DATE</x:v>
      </x:c>
      <x:c r="K68" s="21" t="str">
        <x:v>ZERO_VALID_PENDING</x:v>
      </x:c>
      <x:c r="L68" s="21" t="str">
        <x:v>du_upt_dt</x:v>
      </x:c>
      <x:c r="M68" s="21" t="str"/>
    </x:row>
    <x:row r="69">
      <x:c r="A69" s="21" t="str">
        <x:v>domestic_etp.volume_1d</x:v>
      </x:c>
      <x:c r="B69" s="21" t="str">
        <x:v>domestic_etp</x:v>
      </x:c>
      <x:c r="C69" s="21" t="str">
        <x:v>PREF01N001</x:v>
      </x:c>
      <x:c r="D69" s="21" t="str">
        <x:v>du_vol_1d</x:v>
      </x:c>
      <x:c r="E69" s="21" t="str">
        <x:v>METRIC</x:v>
      </x:c>
      <x:c r="F69" s="21" t="str">
        <x:v>decimal</x:v>
      </x:c>
      <x:c r="G69" s="21" t="str">
        <x:v>COUNT</x:v>
      </x:c>
      <x:c r="H69" s="21" t="str">
        <x:v>eq|gt|gte|lt|lte|between</x:v>
      </x:c>
      <x:c r="I69" s="21" t="str">
        <x:v>ALLOWED</x:v>
      </x:c>
      <x:c r="J69" s="21" t="str">
        <x:v>ALLOWED_WITH_DATE</x:v>
      </x:c>
      <x:c r="K69" s="21" t="str">
        <x:v>ZERO_VALID_PENDING</x:v>
      </x:c>
      <x:c r="L69" s="21" t="str">
        <x:v>du_upt_dt</x:v>
      </x:c>
      <x:c r="M69" s="21" t="str"/>
    </x:row>
    <x:row r="70">
      <x:c r="A70" s="21" t="str">
        <x:v>domestic_etp.volume_avg_1m</x:v>
      </x:c>
      <x:c r="B70" s="21" t="str">
        <x:v>domestic_etp</x:v>
      </x:c>
      <x:c r="C70" s="21" t="str">
        <x:v>PREF01N001</x:v>
      </x:c>
      <x:c r="D70" s="21" t="str">
        <x:v>du_vol_avg_1m</x:v>
      </x:c>
      <x:c r="E70" s="21" t="str">
        <x:v>METRIC</x:v>
      </x:c>
      <x:c r="F70" s="21" t="str">
        <x:v>decimal</x:v>
      </x:c>
      <x:c r="G70" s="21" t="str">
        <x:v>COUNT</x:v>
      </x:c>
      <x:c r="H70" s="21" t="str">
        <x:v>eq|gt|gte|lt|lte|between</x:v>
      </x:c>
      <x:c r="I70" s="21" t="str">
        <x:v>ALLOWED</x:v>
      </x:c>
      <x:c r="J70" s="21" t="str">
        <x:v>ALLOWED_WITH_DATE</x:v>
      </x:c>
      <x:c r="K70" s="21" t="str">
        <x:v>ZERO_VALID_PENDING</x:v>
      </x:c>
      <x:c r="L70" s="21" t="str">
        <x:v>du_upt_dt</x:v>
      </x:c>
      <x:c r="M70" s="21" t="str"/>
    </x:row>
    <x:row r="71">
      <x:c r="A71" s="21" t="str">
        <x:v>domestic_etp.volume_avg_5d</x:v>
      </x:c>
      <x:c r="B71" s="21" t="str">
        <x:v>domestic_etp</x:v>
      </x:c>
      <x:c r="C71" s="21" t="str">
        <x:v>PREF01N001</x:v>
      </x:c>
      <x:c r="D71" s="21" t="str">
        <x:v>du_vol_avg_5d</x:v>
      </x:c>
      <x:c r="E71" s="21" t="str">
        <x:v>METRIC</x:v>
      </x:c>
      <x:c r="F71" s="21" t="str">
        <x:v>decimal</x:v>
      </x:c>
      <x:c r="G71" s="21" t="str">
        <x:v>COUNT</x:v>
      </x:c>
      <x:c r="H71" s="21" t="str">
        <x:v>eq|gt|gte|lt|lte|between</x:v>
      </x:c>
      <x:c r="I71" s="21" t="str">
        <x:v>ALLOWED</x:v>
      </x:c>
      <x:c r="J71" s="21" t="str">
        <x:v>ALLOWED_WITH_DATE</x:v>
      </x:c>
      <x:c r="K71" s="21" t="str">
        <x:v>ZERO_VALID_PENDING</x:v>
      </x:c>
      <x:c r="L71" s="21" t="str">
        <x:v>du_upt_dt</x:v>
      </x:c>
      <x:c r="M71" s="21" t="str"/>
    </x:row>
    <x:row r="72">
      <x:c r="A72" s="21" t="str">
        <x:v>domestic_etp.realtime_discrepancy_rate</x:v>
      </x:c>
      <x:c r="B72" s="21" t="str">
        <x:v>domestic_etp</x:v>
      </x:c>
      <x:c r="C72" s="21" t="str">
        <x:v>PREF01N001</x:v>
      </x:c>
      <x:c r="D72" s="21" t="str">
        <x:v>nru_mkt_diff_rt</x:v>
      </x:c>
      <x:c r="E72" s="21" t="str">
        <x:v>UNAVAILABLE</x:v>
      </x:c>
      <x:c r="F72" s="21" t="str">
        <x:v>decimal</x:v>
      </x:c>
      <x:c r="G72" s="21" t="str">
        <x:v>PERCENTAGE_POINT_PENDING</x:v>
      </x:c>
      <x:c r="H72" s="21" t="str">
        <x:v>NONE</x:v>
      </x:c>
      <x:c r="I72" s="21" t="str">
        <x:v>UNAVAILABLE</x:v>
      </x:c>
      <x:c r="J72" s="21" t="str">
        <x:v>UNAVAILABLE</x:v>
      </x:c>
      <x:c r="K72" s="21" t="str">
        <x:v>MISSING_ALL</x:v>
      </x:c>
      <x:c r="L72" s="21" t="str">
        <x:v>NONE</x:v>
      </x:c>
      <x:c r="M72" s="21" t="str">
        <x:v>100 percent blank</x:v>
      </x:c>
    </x:row>
    <x:row r="73">
      <x:c r="A73" s="21" t="str">
        <x:v>domestic_etp.realtime_inav</x:v>
      </x:c>
      <x:c r="B73" s="21" t="str">
        <x:v>domestic_etp</x:v>
      </x:c>
      <x:c r="C73" s="21" t="str">
        <x:v>PREF01N001</x:v>
      </x:c>
      <x:c r="D73" s="21" t="str">
        <x:v>nru_mkt_inav</x:v>
      </x:c>
      <x:c r="E73" s="21" t="str">
        <x:v>UNAVAILABLE</x:v>
      </x:c>
      <x:c r="F73" s="21" t="str">
        <x:v>decimal</x:v>
      </x:c>
      <x:c r="G73" s="21" t="str">
        <x:v>KRW_PRICE_PENDING</x:v>
      </x:c>
      <x:c r="H73" s="21" t="str">
        <x:v>NONE</x:v>
      </x:c>
      <x:c r="I73" s="21" t="str">
        <x:v>UNAVAILABLE</x:v>
      </x:c>
      <x:c r="J73" s="21" t="str">
        <x:v>UNAVAILABLE</x:v>
      </x:c>
      <x:c r="K73" s="21" t="str">
        <x:v>MISSING_ALL</x:v>
      </x:c>
      <x:c r="L73" s="21" t="str">
        <x:v>NONE</x:v>
      </x:c>
      <x:c r="M73" s="21" t="str">
        <x:v>100 percent blank</x:v>
      </x:c>
    </x:row>
    <x:row r="74">
      <x:c r="A74" s="21" t="str">
        <x:v>product.alias.short_name</x:v>
      </x:c>
      <x:c r="B74" s="21" t="str">
        <x:v>domestic_etp</x:v>
      </x:c>
      <x:c r="C74" s="21" t="str">
        <x:v>PREF01N001</x:v>
      </x:c>
      <x:c r="D74" s="21" t="str">
        <x:v>pd_abrv_nm</x:v>
      </x:c>
      <x:c r="E74" s="21" t="str">
        <x:v>ALIAS_NAME</x:v>
      </x:c>
      <x:c r="F74" s="21" t="str">
        <x:v>string</x:v>
      </x:c>
      <x:c r="G74" s="21" t="str">
        <x:v>TEXT</x:v>
      </x:c>
      <x:c r="H74" s="21" t="str">
        <x:v>eq|contains|starts_with</x:v>
      </x:c>
      <x:c r="I74" s="21" t="str">
        <x:v>ALLOWED</x:v>
      </x:c>
      <x:c r="J74" s="21" t="str">
        <x:v>ALLOWED</x:v>
      </x:c>
      <x:c r="K74" s="21" t="str">
        <x:v>AMBIGUITY_CHECK</x:v>
      </x:c>
      <x:c r="L74" s="21" t="str">
        <x:v>NONE</x:v>
      </x:c>
      <x:c r="M74" s="21" t="str"/>
    </x:row>
    <x:row r="75">
      <x:c r="A75" s="21" t="str">
        <x:v>domestic_etp.circulating_net_assets</x:v>
      </x:c>
      <x:c r="B75" s="21" t="str">
        <x:v>domestic_etp</x:v>
      </x:c>
      <x:c r="C75" s="21" t="str">
        <x:v>PREF01N001</x:v>
      </x:c>
      <x:c r="D75" s="21" t="str">
        <x:v>pd_circ_net_tamt</x:v>
      </x:c>
      <x:c r="E75" s="21" t="str">
        <x:v>METRIC</x:v>
      </x:c>
      <x:c r="F75" s="21" t="str">
        <x:v>decimal</x:v>
      </x:c>
      <x:c r="G75" s="21" t="str">
        <x:v>KRW_PENDING</x:v>
      </x:c>
      <x:c r="H75" s="21" t="str">
        <x:v>eq|gt|gte|lt|lte|between</x:v>
      </x:c>
      <x:c r="I75" s="21" t="str">
        <x:v>PENDING</x:v>
      </x:c>
      <x:c r="J75" s="21" t="str">
        <x:v>BLOCKED_PENDING_SEMANTICS</x:v>
      </x:c>
      <x:c r="K75" s="21" t="str">
        <x:v>ZERO_UNKNOWN</x:v>
      </x:c>
      <x:c r="L75" s="21" t="str">
        <x:v>wu_upt_dt</x:v>
      </x:c>
      <x:c r="M75" s="21" t="str"/>
    </x:row>
    <x:row r="76">
      <x:c r="A76" s="21" t="str">
        <x:v>domestic_etp.circulating_share_count</x:v>
      </x:c>
      <x:c r="B76" s="21" t="str">
        <x:v>domestic_etp</x:v>
      </x:c>
      <x:c r="C76" s="21" t="str">
        <x:v>PREF01N001</x:v>
      </x:c>
      <x:c r="D76" s="21" t="str">
        <x:v>pd_circ_stk_cnt</x:v>
      </x:c>
      <x:c r="E76" s="21" t="str">
        <x:v>METRIC</x:v>
      </x:c>
      <x:c r="F76" s="21" t="str">
        <x:v>decimal</x:v>
      </x:c>
      <x:c r="G76" s="21" t="str">
        <x:v>COUNT</x:v>
      </x:c>
      <x:c r="H76" s="21" t="str">
        <x:v>eq|gt|gte|lt|lte|between</x:v>
      </x:c>
      <x:c r="I76" s="21" t="str">
        <x:v>ALLOWED</x:v>
      </x:c>
      <x:c r="J76" s="21" t="str">
        <x:v>ALLOWED_WITH_COVERAGE</x:v>
      </x:c>
      <x:c r="K76" s="21" t="str">
        <x:v>ZERO_UNKNOWN</x:v>
      </x:c>
      <x:c r="L76" s="21" t="str">
        <x:v>wu_upt_dt</x:v>
      </x:c>
      <x:c r="M76" s="21" t="str"/>
    </x:row>
    <x:row r="77">
      <x:c r="A77" s="21" t="str">
        <x:v>product.currency_code_raw</x:v>
      </x:c>
      <x:c r="B77" s="21" t="str">
        <x:v>domestic_etp</x:v>
      </x:c>
      <x:c r="C77" s="21" t="str">
        <x:v>PREF01N001</x:v>
      </x:c>
      <x:c r="D77" s="21" t="str">
        <x:v>pd_curr_cd</x:v>
      </x:c>
      <x:c r="E77" s="21" t="str">
        <x:v>DIMENSION</x:v>
      </x:c>
      <x:c r="F77" s="21" t="str">
        <x:v>string</x:v>
      </x:c>
      <x:c r="G77" s="21" t="str">
        <x:v>CURRENCY_CODE_RAW</x:v>
      </x:c>
      <x:c r="H77" s="21" t="str">
        <x:v>eq|in</x:v>
      </x:c>
      <x:c r="I77" s="21" t="str">
        <x:v>ALLOWED</x:v>
      </x:c>
      <x:c r="J77" s="21" t="str">
        <x:v>ALLOWED</x:v>
      </x:c>
      <x:c r="K77" s="21" t="str">
        <x:v>INVALID_CODE_FLAG</x:v>
      </x:c>
      <x:c r="L77" s="21" t="str">
        <x:v>NONE</x:v>
      </x:c>
      <x:c r="M77" s="21" t="str">
        <x:v>CURR_CD_000 is not a currency</x:v>
      </x:c>
    </x:row>
    <x:row r="78">
      <x:c r="A78" s="21" t="str">
        <x:v>product.currency_name</x:v>
      </x:c>
      <x:c r="B78" s="21" t="str">
        <x:v>domestic_etp</x:v>
      </x:c>
      <x:c r="C78" s="21" t="str">
        <x:v>PREF01N001</x:v>
      </x:c>
      <x:c r="D78" s="21" t="str">
        <x:v>pd_curr_nm</x:v>
      </x:c>
      <x:c r="E78" s="21" t="str">
        <x:v>DIMENSION</x:v>
      </x:c>
      <x:c r="F78" s="21" t="str">
        <x:v>string</x:v>
      </x:c>
      <x:c r="G78" s="21" t="str">
        <x:v>TEXT</x:v>
      </x:c>
      <x:c r="H78" s="21" t="str">
        <x:v>eq|in</x:v>
      </x:c>
      <x:c r="I78" s="21" t="str">
        <x:v>ALLOWED</x:v>
      </x:c>
      <x:c r="J78" s="21" t="str">
        <x:v>ALLOWED</x:v>
      </x:c>
      <x:c r="K78" s="21" t="str">
        <x:v>INVALID_CODE_FLAG</x:v>
      </x:c>
      <x:c r="L78" s="21" t="str">
        <x:v>NONE</x:v>
      </x:c>
      <x:c r="M78" s="21" t="str"/>
    </x:row>
    <x:row r="79">
      <x:c r="A79" s="21" t="str">
        <x:v>domestic_etp.dividend_per_share</x:v>
      </x:c>
      <x:c r="B79" s="21" t="str">
        <x:v>domestic_etp</x:v>
      </x:c>
      <x:c r="C79" s="21" t="str">
        <x:v>PREF01N001</x:v>
      </x:c>
      <x:c r="D79" s="21" t="str">
        <x:v>pd_divd_amt_pshr</x:v>
      </x:c>
      <x:c r="E79" s="21" t="str">
        <x:v>METRIC</x:v>
      </x:c>
      <x:c r="F79" s="21" t="str">
        <x:v>decimal</x:v>
      </x:c>
      <x:c r="G79" s="21" t="str">
        <x:v>KRW_PENDING</x:v>
      </x:c>
      <x:c r="H79" s="21" t="str">
        <x:v>eq|gt|gte|lt|lte|between</x:v>
      </x:c>
      <x:c r="I79" s="21" t="str">
        <x:v>BLOCKED_CONSTANT</x:v>
      </x:c>
      <x:c r="J79" s="21" t="str">
        <x:v>BLOCKED_CONSTANT</x:v>
      </x:c>
      <x:c r="K79" s="21" t="str">
        <x:v>UNUSABLE_CONSTANT</x:v>
      </x:c>
      <x:c r="L79" s="21" t="str">
        <x:v>wu_upt_dt</x:v>
      </x:c>
      <x:c r="M79" s="21" t="str"/>
    </x:row>
    <x:row r="80">
      <x:c r="A80" s="21" t="str">
        <x:v>domestic_etp.dividend_cycle</x:v>
      </x:c>
      <x:c r="B80" s="21" t="str">
        <x:v>domestic_etp</x:v>
      </x:c>
      <x:c r="C80" s="21" t="str">
        <x:v>PREF01N001</x:v>
      </x:c>
      <x:c r="D80" s="21" t="str">
        <x:v>pd_dvid_cycl</x:v>
      </x:c>
      <x:c r="E80" s="21" t="str">
        <x:v>DIMENSION</x:v>
      </x:c>
      <x:c r="F80" s="21" t="str">
        <x:v>string</x:v>
      </x:c>
      <x:c r="G80" s="21" t="str">
        <x:v>CATEGORY</x:v>
      </x:c>
      <x:c r="H80" s="21" t="str">
        <x:v>NONE</x:v>
      </x:c>
      <x:c r="I80" s="21" t="str">
        <x:v>UNAVAILABLE</x:v>
      </x:c>
      <x:c r="J80" s="21" t="str">
        <x:v>UNAVAILABLE</x:v>
      </x:c>
      <x:c r="K80" s="21" t="str">
        <x:v>MISSING_ALL</x:v>
      </x:c>
      <x:c r="L80" s="21" t="str">
        <x:v>NONE</x:v>
      </x:c>
      <x:c r="M80" s="21" t="str">
        <x:v>source label typo OPEN</x:v>
      </x:c>
    </x:row>
    <x:row r="81">
      <x:c r="A81" s="21" t="str">
        <x:v>domestic_etp.dividend_yield</x:v>
      </x:c>
      <x:c r="B81" s="21" t="str">
        <x:v>domestic_etp</x:v>
      </x:c>
      <x:c r="C81" s="21" t="str">
        <x:v>PREF01N001</x:v>
      </x:c>
      <x:c r="D81" s="21" t="str">
        <x:v>pd_dvid_yield</x:v>
      </x:c>
      <x:c r="E81" s="21" t="str">
        <x:v>METRIC</x:v>
      </x:c>
      <x:c r="F81" s="21" t="str">
        <x:v>decimal</x:v>
      </x:c>
      <x:c r="G81" s="21" t="str">
        <x:v>PERCENTAGE_POINT_PENDING</x:v>
      </x:c>
      <x:c r="H81" s="21" t="str">
        <x:v>eq|gt|gte|lt|lte|between</x:v>
      </x:c>
      <x:c r="I81" s="21" t="str">
        <x:v>BLOCKED_CONSTANT</x:v>
      </x:c>
      <x:c r="J81" s="21" t="str">
        <x:v>BLOCKED_CONSTANT</x:v>
      </x:c>
      <x:c r="K81" s="21" t="str">
        <x:v>UNUSABLE_CONSTANT</x:v>
      </x:c>
      <x:c r="L81" s="21" t="str">
        <x:v>wu_upt_dt</x:v>
      </x:c>
      <x:c r="M81" s="21" t="str">
        <x:v>1551 present values all zero</x:v>
      </x:c>
    </x:row>
    <x:row r="82">
      <x:c r="A82" s="21" t="str">
        <x:v>product.exchange_code</x:v>
      </x:c>
      <x:c r="B82" s="21" t="str">
        <x:v>domestic_etp</x:v>
      </x:c>
      <x:c r="C82" s="21" t="str">
        <x:v>PREF01N001</x:v>
      </x:c>
      <x:c r="D82" s="21" t="str">
        <x:v>pd_exg_mkt_cd</x:v>
      </x:c>
      <x:c r="E82" s="21" t="str">
        <x:v>DIMENSION</x:v>
      </x:c>
      <x:c r="F82" s="21" t="str">
        <x:v>string</x:v>
      </x:c>
      <x:c r="G82" s="21" t="str">
        <x:v>CODE</x:v>
      </x:c>
      <x:c r="H82" s="21" t="str">
        <x:v>eq|in</x:v>
      </x:c>
      <x:c r="I82" s="21" t="str">
        <x:v>ALLOWED</x:v>
      </x:c>
      <x:c r="J82" s="21" t="str">
        <x:v>ALLOWED</x:v>
      </x:c>
      <x:c r="K82" s="21" t="str">
        <x:v>MISSING_ON_QUARANTINE</x:v>
      </x:c>
      <x:c r="L82" s="21" t="str">
        <x:v>NONE</x:v>
      </x:c>
      <x:c r="M82" s="21" t="str"/>
    </x:row>
    <x:row r="83">
      <x:c r="A83" s="21" t="str">
        <x:v>product.exchange_name</x:v>
      </x:c>
      <x:c r="B83" s="21" t="str">
        <x:v>domestic_etp</x:v>
      </x:c>
      <x:c r="C83" s="21" t="str">
        <x:v>PREF01N001</x:v>
      </x:c>
      <x:c r="D83" s="21" t="str">
        <x:v>pd_exg_mkt_nm</x:v>
      </x:c>
      <x:c r="E83" s="21" t="str">
        <x:v>DIMENSION</x:v>
      </x:c>
      <x:c r="F83" s="21" t="str">
        <x:v>string</x:v>
      </x:c>
      <x:c r="G83" s="21" t="str">
        <x:v>TEXT</x:v>
      </x:c>
      <x:c r="H83" s="21" t="str">
        <x:v>eq|in|contains</x:v>
      </x:c>
      <x:c r="I83" s="21" t="str">
        <x:v>ALLOWED</x:v>
      </x:c>
      <x:c r="J83" s="21" t="str">
        <x:v>ALLOWED</x:v>
      </x:c>
      <x:c r="K83" s="21" t="str">
        <x:v>TRIM_WHITESPACE</x:v>
      </x:c>
      <x:c r="L83" s="21" t="str">
        <x:v>NONE</x:v>
      </x:c>
      <x:c r="M83" s="21" t="str"/>
    </x:row>
    <x:row r="84">
      <x:c r="A84" s="21" t="str">
        <x:v>product.internal_type</x:v>
      </x:c>
      <x:c r="B84" s="21" t="str">
        <x:v>domestic_etp</x:v>
      </x:c>
      <x:c r="C84" s="21" t="str">
        <x:v>PREF01N001</x:v>
      </x:c>
      <x:c r="D84" s="21" t="str">
        <x:v>pd_grp_no</x:v>
      </x:c>
      <x:c r="E84" s="21" t="str">
        <x:v>DIMENSION</x:v>
      </x:c>
      <x:c r="F84" s="21" t="str">
        <x:v>string</x:v>
      </x:c>
      <x:c r="G84" s="21" t="str">
        <x:v>CATEGORY</x:v>
      </x:c>
      <x:c r="H84" s="21" t="str">
        <x:v>eq|in</x:v>
      </x:c>
      <x:c r="I84" s="21" t="str">
        <x:v>ALLOWED</x:v>
      </x:c>
      <x:c r="J84" s="21" t="str">
        <x:v>ALLOWED</x:v>
      </x:c>
      <x:c r="K84" s="21" t="str">
        <x:v>VALID</x:v>
      </x:c>
      <x:c r="L84" s="21" t="str">
        <x:v>NONE</x:v>
      </x:c>
      <x:c r="M84" s="21" t="str">
        <x:v>ETF or ETN</x:v>
      </x:c>
    </x:row>
    <x:row r="85">
      <x:c r="A85" s="21" t="str">
        <x:v>product.id</x:v>
      </x:c>
      <x:c r="B85" s="21" t="str">
        <x:v>domestic_etp</x:v>
      </x:c>
      <x:c r="C85" s="21" t="str">
        <x:v>PREF01N001</x:v>
      </x:c>
      <x:c r="D85" s="21" t="str">
        <x:v>pd_itm_no</x:v>
      </x:c>
      <x:c r="E85" s="21" t="str">
        <x:v>PRIMARY_ID</x:v>
      </x:c>
      <x:c r="F85" s="21" t="str">
        <x:v>string</x:v>
      </x:c>
      <x:c r="G85" s="21" t="str">
        <x:v>IDENTIFIER</x:v>
      </x:c>
      <x:c r="H85" s="21" t="str">
        <x:v>eq|in|starts_with</x:v>
      </x:c>
      <x:c r="I85" s="21" t="str">
        <x:v>ALLOWED</x:v>
      </x:c>
      <x:c r="J85" s="21" t="str">
        <x:v>ALLOWED</x:v>
      </x:c>
      <x:c r="K85" s="21" t="str">
        <x:v>REQUIRED_UNIQUE</x:v>
      </x:c>
      <x:c r="L85" s="21" t="str">
        <x:v>NONE</x:v>
      </x:c>
      <x:c r="M85" s="21" t="str"/>
    </x:row>
    <x:row r="86">
      <x:c r="A86" s="21" t="str">
        <x:v>product.alias.mirae_id</x:v>
      </x:c>
      <x:c r="B86" s="21" t="str">
        <x:v>domestic_etp</x:v>
      </x:c>
      <x:c r="C86" s="21" t="str">
        <x:v>PREF01N001</x:v>
      </x:c>
      <x:c r="D86" s="21" t="str">
        <x:v>pd_itm_no_ma</x:v>
      </x:c>
      <x:c r="E86" s="21" t="str">
        <x:v>ALIAS_ID</x:v>
      </x:c>
      <x:c r="F86" s="21" t="str">
        <x:v>string</x:v>
      </x:c>
      <x:c r="G86" s="21" t="str">
        <x:v>IDENTIFIER</x:v>
      </x:c>
      <x:c r="H86" s="21" t="str">
        <x:v>eq|in|starts_with</x:v>
      </x:c>
      <x:c r="I86" s="21" t="str">
        <x:v>ALLOWED</x:v>
      </x:c>
      <x:c r="J86" s="21" t="str">
        <x:v>ALLOWED</x:v>
      </x:c>
      <x:c r="K86" s="21" t="str">
        <x:v>REQUIRED_UNIQUE</x:v>
      </x:c>
      <x:c r="L86" s="21" t="str">
        <x:v>NONE</x:v>
      </x:c>
      <x:c r="M86" s="21" t="str"/>
    </x:row>
    <x:row r="87">
      <x:c r="A87" s="21" t="str">
        <x:v>domestic_etp.face_value</x:v>
      </x:c>
      <x:c r="B87" s="21" t="str">
        <x:v>domestic_etp</x:v>
      </x:c>
      <x:c r="C87" s="21" t="str">
        <x:v>PREF01N001</x:v>
      </x:c>
      <x:c r="D87" s="21" t="str">
        <x:v>pd_lst_price</x:v>
      </x:c>
      <x:c r="E87" s="21" t="str">
        <x:v>METRIC</x:v>
      </x:c>
      <x:c r="F87" s="21" t="str">
        <x:v>decimal</x:v>
      </x:c>
      <x:c r="G87" s="21" t="str">
        <x:v>KRW_PENDING</x:v>
      </x:c>
      <x:c r="H87" s="21" t="str">
        <x:v>eq|gt|gte|lt|lte|between</x:v>
      </x:c>
      <x:c r="I87" s="21" t="str">
        <x:v>BLOCKED_CONSTANT</x:v>
      </x:c>
      <x:c r="J87" s="21" t="str">
        <x:v>BLOCKED_CONSTANT</x:v>
      </x:c>
      <x:c r="K87" s="21" t="str">
        <x:v>UNUSABLE_CONSTANT</x:v>
      </x:c>
      <x:c r="L87" s="21" t="str">
        <x:v>NONE</x:v>
      </x:c>
      <x:c r="M87" s="21" t="str">
        <x:v>all zero</x:v>
      </x:c>
    </x:row>
    <x:row r="88">
      <x:c r="A88" s="21" t="str">
        <x:v>domestic_etp.listed_share_count</x:v>
      </x:c>
      <x:c r="B88" s="21" t="str">
        <x:v>domestic_etp</x:v>
      </x:c>
      <x:c r="C88" s="21" t="str">
        <x:v>PREF01N001</x:v>
      </x:c>
      <x:c r="D88" s="21" t="str">
        <x:v>pd_lst_stk_cnt</x:v>
      </x:c>
      <x:c r="E88" s="21" t="str">
        <x:v>METRIC</x:v>
      </x:c>
      <x:c r="F88" s="21" t="str">
        <x:v>decimal</x:v>
      </x:c>
      <x:c r="G88" s="21" t="str">
        <x:v>COUNT</x:v>
      </x:c>
      <x:c r="H88" s="21" t="str">
        <x:v>eq|gt|gte|lt|lte|between</x:v>
      </x:c>
      <x:c r="I88" s="21" t="str">
        <x:v>ALLOWED</x:v>
      </x:c>
      <x:c r="J88" s="21" t="str">
        <x:v>ALLOWED</x:v>
      </x:c>
      <x:c r="K88" s="21" t="str">
        <x:v>ZERO_UNKNOWN</x:v>
      </x:c>
      <x:c r="L88" s="21" t="str">
        <x:v>NONE</x:v>
      </x:c>
      <x:c r="M88" s="21" t="str"/>
    </x:row>
    <x:row r="89">
      <x:c r="A89" s="21" t="str">
        <x:v>product.trading_end_date</x:v>
      </x:c>
      <x:c r="B89" s="21" t="str">
        <x:v>domestic_etp</x:v>
      </x:c>
      <x:c r="C89" s="21" t="str">
        <x:v>PREF01N001</x:v>
      </x:c>
      <x:c r="D89" s="21" t="str">
        <x:v>pd_lste_dt</x:v>
      </x:c>
      <x:c r="E89" s="21" t="str">
        <x:v>DIMENSION</x:v>
      </x:c>
      <x:c r="F89" s="21" t="str">
        <x:v>date</x:v>
      </x:c>
      <x:c r="G89" s="21" t="str">
        <x:v>YYYYMMDD</x:v>
      </x:c>
      <x:c r="H89" s="21" t="str">
        <x:v>eq|gt|gte|lt|lte|between</x:v>
      </x:c>
      <x:c r="I89" s="21" t="str">
        <x:v>ALLOWED</x:v>
      </x:c>
      <x:c r="J89" s="21" t="str">
        <x:v>ALLOWED</x:v>
      </x:c>
      <x:c r="K89" s="21" t="str">
        <x:v>SENTINEL_99991231_OPEN</x:v>
      </x:c>
      <x:c r="L89" s="21" t="str">
        <x:v>NONE</x:v>
      </x:c>
      <x:c r="M89" s="21" t="str"/>
    </x:row>
    <x:row r="90">
      <x:c r="A90" s="21" t="str">
        <x:v>product.listing_date</x:v>
      </x:c>
      <x:c r="B90" s="21" t="str">
        <x:v>domestic_etp</x:v>
      </x:c>
      <x:c r="C90" s="21" t="str">
        <x:v>PREF01N001</x:v>
      </x:c>
      <x:c r="D90" s="21" t="str">
        <x:v>pd_lstg_dt</x:v>
      </x:c>
      <x:c r="E90" s="21" t="str">
        <x:v>DIMENSION</x:v>
      </x:c>
      <x:c r="F90" s="21" t="str">
        <x:v>date</x:v>
      </x:c>
      <x:c r="G90" s="21" t="str">
        <x:v>YYYYMMDD</x:v>
      </x:c>
      <x:c r="H90" s="21" t="str">
        <x:v>eq|gt|gte|lt|lte|between</x:v>
      </x:c>
      <x:c r="I90" s="21" t="str">
        <x:v>ALLOWED</x:v>
      </x:c>
      <x:c r="J90" s="21" t="str">
        <x:v>ALLOWED</x:v>
      </x:c>
      <x:c r="K90" s="21" t="str">
        <x:v>SUSPECT_10001231</x:v>
      </x:c>
      <x:c r="L90" s="21" t="str">
        <x:v>NONE</x:v>
      </x:c>
      <x:c r="M90" s="21" t="str"/>
    </x:row>
    <x:row r="91">
      <x:c r="A91" s="21" t="str">
        <x:v>product.market_code</x:v>
      </x:c>
      <x:c r="B91" s="21" t="str">
        <x:v>domestic_etp</x:v>
      </x:c>
      <x:c r="C91" s="21" t="str">
        <x:v>PREF01N001</x:v>
      </x:c>
      <x:c r="D91" s="21" t="str">
        <x:v>pd_mkt_id</x:v>
      </x:c>
      <x:c r="E91" s="21" t="str">
        <x:v>DIMENSION</x:v>
      </x:c>
      <x:c r="F91" s="21" t="str">
        <x:v>string</x:v>
      </x:c>
      <x:c r="G91" s="21" t="str">
        <x:v>CODE</x:v>
      </x:c>
      <x:c r="H91" s="21" t="str">
        <x:v>eq|in</x:v>
      </x:c>
      <x:c r="I91" s="21" t="str">
        <x:v>ALLOWED</x:v>
      </x:c>
      <x:c r="J91" s="21" t="str">
        <x:v>ALLOWED</x:v>
      </x:c>
      <x:c r="K91" s="21" t="str">
        <x:v>MISSING_ON_QUARANTINE</x:v>
      </x:c>
      <x:c r="L91" s="21" t="str">
        <x:v>NONE</x:v>
      </x:c>
      <x:c r="M91" s="21" t="str"/>
    </x:row>
    <x:row r="92">
      <x:c r="A92" s="21" t="str">
        <x:v>product.market_name</x:v>
      </x:c>
      <x:c r="B92" s="21" t="str">
        <x:v>domestic_etp</x:v>
      </x:c>
      <x:c r="C92" s="21" t="str">
        <x:v>PREF01N001</x:v>
      </x:c>
      <x:c r="D92" s="21" t="str">
        <x:v>pd_mkt_nm</x:v>
      </x:c>
      <x:c r="E92" s="21" t="str">
        <x:v>DIMENSION</x:v>
      </x:c>
      <x:c r="F92" s="21" t="str">
        <x:v>string</x:v>
      </x:c>
      <x:c r="G92" s="21" t="str">
        <x:v>TEXT</x:v>
      </x:c>
      <x:c r="H92" s="21" t="str">
        <x:v>eq|in|contains</x:v>
      </x:c>
      <x:c r="I92" s="21" t="str">
        <x:v>ALLOWED</x:v>
      </x:c>
      <x:c r="J92" s="21" t="str">
        <x:v>ALLOWED</x:v>
      </x:c>
      <x:c r="K92" s="21" t="str">
        <x:v>MISSING_ON_QUARANTINE</x:v>
      </x:c>
      <x:c r="L92" s="21" t="str">
        <x:v>NONE</x:v>
      </x:c>
      <x:c r="M92" s="21" t="str"/>
    </x:row>
    <x:row r="93">
      <x:c r="A93" s="21" t="str">
        <x:v>domestic_etp.nav_per_share</x:v>
      </x:c>
      <x:c r="B93" s="21" t="str">
        <x:v>domestic_etp</x:v>
      </x:c>
      <x:c r="C93" s="21" t="str">
        <x:v>PREF01N001</x:v>
      </x:c>
      <x:c r="D93" s="21" t="str">
        <x:v>pd_nav_pshr</x:v>
      </x:c>
      <x:c r="E93" s="21" t="str">
        <x:v>METRIC</x:v>
      </x:c>
      <x:c r="F93" s="21" t="str">
        <x:v>decimal</x:v>
      </x:c>
      <x:c r="G93" s="21" t="str">
        <x:v>KRW_PRICE_PENDING</x:v>
      </x:c>
      <x:c r="H93" s="21" t="str">
        <x:v>eq|gt|gte|lt|lte|between</x:v>
      </x:c>
      <x:c r="I93" s="21" t="str">
        <x:v>ALLOWED</x:v>
      </x:c>
      <x:c r="J93" s="21" t="str">
        <x:v>ALLOWED_WITH_COVERAGE</x:v>
      </x:c>
      <x:c r="K93" s="21" t="str">
        <x:v>VALID</x:v>
      </x:c>
      <x:c r="L93" s="21" t="str">
        <x:v>wu_upt_dt</x:v>
      </x:c>
      <x:c r="M93" s="21" t="str"/>
    </x:row>
    <x:row r="94">
      <x:c r="A94" s="21" t="str">
        <x:v>domestic_etp.net_asset_per_share</x:v>
      </x:c>
      <x:c r="B94" s="21" t="str">
        <x:v>domestic_etp</x:v>
      </x:c>
      <x:c r="C94" s="21" t="str">
        <x:v>PREF01N001</x:v>
      </x:c>
      <x:c r="D94" s="21" t="str">
        <x:v>pd_net_ast_pshr</x:v>
      </x:c>
      <x:c r="E94" s="21" t="str">
        <x:v>METRIC</x:v>
      </x:c>
      <x:c r="F94" s="21" t="str">
        <x:v>decimal</x:v>
      </x:c>
      <x:c r="G94" s="21" t="str">
        <x:v>KRW_PENDING</x:v>
      </x:c>
      <x:c r="H94" s="21" t="str">
        <x:v>eq|gt|gte|lt|lte|between</x:v>
      </x:c>
      <x:c r="I94" s="21" t="str">
        <x:v>BLOCKED_CONSTANT</x:v>
      </x:c>
      <x:c r="J94" s="21" t="str">
        <x:v>BLOCKED_CONSTANT</x:v>
      </x:c>
      <x:c r="K94" s="21" t="str">
        <x:v>UNUSABLE_CONSTANT</x:v>
      </x:c>
      <x:c r="L94" s="21" t="str">
        <x:v>wu_upt_dt</x:v>
      </x:c>
      <x:c r="M94" s="21" t="str"/>
    </x:row>
    <x:row r="95">
      <x:c r="A95" s="21" t="str">
        <x:v>domestic_etp.net_profit_per_share</x:v>
      </x:c>
      <x:c r="B95" s="21" t="str">
        <x:v>domestic_etp</x:v>
      </x:c>
      <x:c r="C95" s="21" t="str">
        <x:v>PREF01N001</x:v>
      </x:c>
      <x:c r="D95" s="21" t="str">
        <x:v>pd_net_prft_pshr</x:v>
      </x:c>
      <x:c r="E95" s="21" t="str">
        <x:v>METRIC</x:v>
      </x:c>
      <x:c r="F95" s="21" t="str">
        <x:v>decimal</x:v>
      </x:c>
      <x:c r="G95" s="21" t="str">
        <x:v>KRW_PENDING</x:v>
      </x:c>
      <x:c r="H95" s="21" t="str">
        <x:v>eq|gt|gte|lt|lte|between</x:v>
      </x:c>
      <x:c r="I95" s="21" t="str">
        <x:v>BLOCKED_CONSTANT</x:v>
      </x:c>
      <x:c r="J95" s="21" t="str">
        <x:v>BLOCKED_CONSTANT</x:v>
      </x:c>
      <x:c r="K95" s="21" t="str">
        <x:v>UNUSABLE_CONSTANT</x:v>
      </x:c>
      <x:c r="L95" s="21" t="str">
        <x:v>wu_upt_dt</x:v>
      </x:c>
      <x:c r="M95" s="21" t="str"/>
    </x:row>
    <x:row r="96">
      <x:c r="A96" s="21" t="str">
        <x:v>domestic_etp.net_asset_ratio_per_share</x:v>
      </x:c>
      <x:c r="B96" s="21" t="str">
        <x:v>domestic_etp</x:v>
      </x:c>
      <x:c r="C96" s="21" t="str">
        <x:v>PREF01N001</x:v>
      </x:c>
      <x:c r="D96" s="21" t="str">
        <x:v>pd_net_rt_ast_pshr</x:v>
      </x:c>
      <x:c r="E96" s="21" t="str">
        <x:v>METRIC</x:v>
      </x:c>
      <x:c r="F96" s="21" t="str">
        <x:v>decimal</x:v>
      </x:c>
      <x:c r="G96" s="21" t="str">
        <x:v>PERCENTAGE_POINT_PENDING</x:v>
      </x:c>
      <x:c r="H96" s="21" t="str">
        <x:v>eq|gt|gte|lt|lte|between</x:v>
      </x:c>
      <x:c r="I96" s="21" t="str">
        <x:v>BLOCKED_CONSTANT</x:v>
      </x:c>
      <x:c r="J96" s="21" t="str">
        <x:v>BLOCKED_CONSTANT</x:v>
      </x:c>
      <x:c r="K96" s="21" t="str">
        <x:v>UNUSABLE_CONSTANT</x:v>
      </x:c>
      <x:c r="L96" s="21" t="str">
        <x:v>wu_upt_dt</x:v>
      </x:c>
      <x:c r="M96" s="21" t="str"/>
    </x:row>
    <x:row r="97">
      <x:c r="A97" s="21" t="str">
        <x:v>domestic_etp.net_assets</x:v>
      </x:c>
      <x:c r="B97" s="21" t="str">
        <x:v>domestic_etp</x:v>
      </x:c>
      <x:c r="C97" s="21" t="str">
        <x:v>PREF01N001</x:v>
      </x:c>
      <x:c r="D97" s="21" t="str">
        <x:v>pd_net_tamt</x:v>
      </x:c>
      <x:c r="E97" s="21" t="str">
        <x:v>METRIC</x:v>
      </x:c>
      <x:c r="F97" s="21" t="str">
        <x:v>decimal</x:v>
      </x:c>
      <x:c r="G97" s="21" t="str">
        <x:v>KRW_PENDING</x:v>
      </x:c>
      <x:c r="H97" s="21" t="str">
        <x:v>eq|gt|gte|lt|lte|between</x:v>
      </x:c>
      <x:c r="I97" s="21" t="str">
        <x:v>ALLOWED</x:v>
      </x:c>
      <x:c r="J97" s="21" t="str">
        <x:v>ALLOWED_WITH_COVERAGE</x:v>
      </x:c>
      <x:c r="K97" s="21" t="str">
        <x:v>VALID</x:v>
      </x:c>
      <x:c r="L97" s="21" t="str">
        <x:v>wu_upt_dt</x:v>
      </x:c>
      <x:c r="M97" s="21" t="str">
        <x:v>AUM canonical priority OPEN</x:v>
      </x:c>
    </x:row>
    <x:row r="98">
      <x:c r="A98" s="21" t="str">
        <x:v>product.name</x:v>
      </x:c>
      <x:c r="B98" s="21" t="str">
        <x:v>domestic_etp</x:v>
      </x:c>
      <x:c r="C98" s="21" t="str">
        <x:v>PREF01N001</x:v>
      </x:c>
      <x:c r="D98" s="21" t="str">
        <x:v>pd_nm</x:v>
      </x:c>
      <x:c r="E98" s="21" t="str">
        <x:v>PRIMARY_NAME</x:v>
      </x:c>
      <x:c r="F98" s="21" t="str">
        <x:v>string</x:v>
      </x:c>
      <x:c r="G98" s="21" t="str">
        <x:v>TEXT</x:v>
      </x:c>
      <x:c r="H98" s="21" t="str">
        <x:v>eq|contains|starts_with</x:v>
      </x:c>
      <x:c r="I98" s="21" t="str">
        <x:v>ALLOWED</x:v>
      </x:c>
      <x:c r="J98" s="21" t="str">
        <x:v>ALLOWED</x:v>
      </x:c>
      <x:c r="K98" s="21" t="str">
        <x:v>AMBIGUITY_CHECK</x:v>
      </x:c>
      <x:c r="L98" s="21" t="str">
        <x:v>NONE</x:v>
      </x:c>
      <x:c r="M98" s="21" t="str"/>
    </x:row>
    <x:row r="99">
      <x:c r="A99" s="21" t="str">
        <x:v>product.pension_risk_class</x:v>
      </x:c>
      <x:c r="B99" s="21" t="str">
        <x:v>domestic_etp</x:v>
      </x:c>
      <x:c r="C99" s="21" t="str">
        <x:v>PREF01N001</x:v>
      </x:c>
      <x:c r="D99" s="21" t="str">
        <x:v>pd_pen_risk_nm</x:v>
      </x:c>
      <x:c r="E99" s="21" t="str">
        <x:v>DIMENSION</x:v>
      </x:c>
      <x:c r="F99" s="21" t="str">
        <x:v>string</x:v>
      </x:c>
      <x:c r="G99" s="21" t="str">
        <x:v>CATEGORY</x:v>
      </x:c>
      <x:c r="H99" s="21" t="str">
        <x:v>eq|in</x:v>
      </x:c>
      <x:c r="I99" s="21" t="str">
        <x:v>ALLOWED</x:v>
      </x:c>
      <x:c r="J99" s="21" t="str">
        <x:v>ALLOWED</x:v>
      </x:c>
      <x:c r="K99" s="21" t="str">
        <x:v>VALUE_N_MEANING_OPEN</x:v>
      </x:c>
      <x:c r="L99" s="21" t="str">
        <x:v>NONE</x:v>
      </x:c>
      <x:c r="M99" s="21" t="str"/>
    </x:row>
    <x:row r="100">
      <x:c r="A100" s="21" t="str">
        <x:v>product.pension_trade_eligible</x:v>
      </x:c>
      <x:c r="B100" s="21" t="str">
        <x:v>domestic_etp</x:v>
      </x:c>
      <x:c r="C100" s="21" t="str">
        <x:v>PREF01N001</x:v>
      </x:c>
      <x:c r="D100" s="21" t="str">
        <x:v>pd_pen_tr_yn</x:v>
      </x:c>
      <x:c r="E100" s="21" t="str">
        <x:v>DIMENSION</x:v>
      </x:c>
      <x:c r="F100" s="21" t="str">
        <x:v>string</x:v>
      </x:c>
      <x:c r="G100" s="21" t="str">
        <x:v>BOOLEAN_CODE</x:v>
      </x:c>
      <x:c r="H100" s="21" t="str">
        <x:v>eq|in</x:v>
      </x:c>
      <x:c r="I100" s="21" t="str">
        <x:v>ALLOWED</x:v>
      </x:c>
      <x:c r="J100" s="21" t="str">
        <x:v>ALLOWED</x:v>
      </x:c>
      <x:c r="K100" s="21" t="str">
        <x:v>VALID</x:v>
      </x:c>
      <x:c r="L100" s="21" t="str">
        <x:v>NONE</x:v>
      </x:c>
      <x:c r="M100" s="21" t="str"/>
    </x:row>
    <x:row r="101">
      <x:c r="A101" s="21" t="str">
        <x:v>product.risk_grade_code</x:v>
      </x:c>
      <x:c r="B101" s="21" t="str">
        <x:v>domestic_etp</x:v>
      </x:c>
      <x:c r="C101" s="21" t="str">
        <x:v>PREF01N001</x:v>
      </x:c>
      <x:c r="D101" s="21" t="str">
        <x:v>pd_risk_cd</x:v>
      </x:c>
      <x:c r="E101" s="21" t="str">
        <x:v>DIMENSION</x:v>
      </x:c>
      <x:c r="F101" s="21" t="str">
        <x:v>string</x:v>
      </x:c>
      <x:c r="G101" s="21" t="str">
        <x:v>CODE</x:v>
      </x:c>
      <x:c r="H101" s="21" t="str">
        <x:v>eq|in</x:v>
      </x:c>
      <x:c r="I101" s="21" t="str">
        <x:v>ALLOWED</x:v>
      </x:c>
      <x:c r="J101" s="21" t="str">
        <x:v>ALLOWED_WITH_DEFINED_LABEL</x:v>
      </x:c>
      <x:c r="K101" s="21" t="str">
        <x:v>VALID</x:v>
      </x:c>
      <x:c r="L101" s="21" t="str">
        <x:v>NONE</x:v>
      </x:c>
      <x:c r="M101" s="21" t="str"/>
    </x:row>
    <x:row r="102">
      <x:c r="A102" s="21" t="str">
        <x:v>product.risk_grade_name</x:v>
      </x:c>
      <x:c r="B102" s="21" t="str">
        <x:v>domestic_etp</x:v>
      </x:c>
      <x:c r="C102" s="21" t="str">
        <x:v>PREF01N001</x:v>
      </x:c>
      <x:c r="D102" s="21" t="str">
        <x:v>pd_risk_nm</x:v>
      </x:c>
      <x:c r="E102" s="21" t="str">
        <x:v>DIMENSION</x:v>
      </x:c>
      <x:c r="F102" s="21" t="str">
        <x:v>string</x:v>
      </x:c>
      <x:c r="G102" s="21" t="str">
        <x:v>RISK_SCALE</x:v>
      </x:c>
      <x:c r="H102" s="21" t="str">
        <x:v>eq|in</x:v>
      </x:c>
      <x:c r="I102" s="21" t="str">
        <x:v>ALLOWED</x:v>
      </x:c>
      <x:c r="J102" s="21" t="str">
        <x:v>ALLOWED_WITH_DEFINED_LABEL</x:v>
      </x:c>
      <x:c r="K102" s="21" t="str">
        <x:v>VALID</x:v>
      </x:c>
      <x:c r="L102" s="21" t="str">
        <x:v>NONE</x:v>
      </x:c>
      <x:c r="M102" s="21" t="str">
        <x:v>do not compare across product groups</x:v>
      </x:c>
    </x:row>
    <x:row r="103">
      <x:c r="A103" s="21" t="str">
        <x:v>product.sale_status</x:v>
      </x:c>
      <x:c r="B103" s="21" t="str">
        <x:v>domestic_etp</x:v>
      </x:c>
      <x:c r="C103" s="21" t="str">
        <x:v>PREF01N001</x:v>
      </x:c>
      <x:c r="D103" s="21" t="str">
        <x:v>pd_sale_yn</x:v>
      </x:c>
      <x:c r="E103" s="21" t="str">
        <x:v>STATUS</x:v>
      </x:c>
      <x:c r="F103" s="21" t="str">
        <x:v>string</x:v>
      </x:c>
      <x:c r="G103" s="21" t="str">
        <x:v>BOOLEAN_CODE</x:v>
      </x:c>
      <x:c r="H103" s="21" t="str">
        <x:v>eq|in</x:v>
      </x:c>
      <x:c r="I103" s="21" t="str">
        <x:v>ALLOWED</x:v>
      </x:c>
      <x:c r="J103" s="21" t="str">
        <x:v>ALLOWED</x:v>
      </x:c>
      <x:c r="K103" s="21" t="str">
        <x:v>VALID</x:v>
      </x:c>
      <x:c r="L103" s="21" t="str">
        <x:v>NONE</x:v>
      </x:c>
      <x:c r="M103" s="21" t="str">
        <x:v>0 or 1</x:v>
      </x:c>
    </x:row>
    <x:row r="104">
      <x:c r="A104" s="21" t="str">
        <x:v>product.sector_code</x:v>
      </x:c>
      <x:c r="B104" s="21" t="str">
        <x:v>domestic_etp</x:v>
      </x:c>
      <x:c r="C104" s="21" t="str">
        <x:v>PREF01N001</x:v>
      </x:c>
      <x:c r="D104" s="21" t="str">
        <x:v>pd_sect_cd</x:v>
      </x:c>
      <x:c r="E104" s="21" t="str">
        <x:v>DIMENSION</x:v>
      </x:c>
      <x:c r="F104" s="21" t="str">
        <x:v>string</x:v>
      </x:c>
      <x:c r="G104" s="21" t="str">
        <x:v>CODE</x:v>
      </x:c>
      <x:c r="H104" s="21" t="str">
        <x:v>eq|in</x:v>
      </x:c>
      <x:c r="I104" s="21" t="str">
        <x:v>PENDING</x:v>
      </x:c>
      <x:c r="J104" s="21" t="str">
        <x:v>BLOCKED_CODEBOOK_MISSING</x:v>
      </x:c>
      <x:c r="K104" s="21" t="str">
        <x:v>MISSING_ALLOWED</x:v>
      </x:c>
      <x:c r="L104" s="21" t="str">
        <x:v>NONE</x:v>
      </x:c>
      <x:c r="M104" s="21" t="str"/>
    </x:row>
    <x:row r="105">
      <x:c r="A105" s="21" t="str">
        <x:v>product.sector_name</x:v>
      </x:c>
      <x:c r="B105" s="21" t="str">
        <x:v>domestic_etp</x:v>
      </x:c>
      <x:c r="C105" s="21" t="str">
        <x:v>PREF01N001</x:v>
      </x:c>
      <x:c r="D105" s="21" t="str">
        <x:v>pd_sect_nm</x:v>
      </x:c>
      <x:c r="E105" s="21" t="str">
        <x:v>UNAVAILABLE</x:v>
      </x:c>
      <x:c r="F105" s="21" t="str">
        <x:v>string</x:v>
      </x:c>
      <x:c r="G105" s="21" t="str">
        <x:v>TEXT</x:v>
      </x:c>
      <x:c r="H105" s="21" t="str">
        <x:v>NONE</x:v>
      </x:c>
      <x:c r="I105" s="21" t="str">
        <x:v>UNAVAILABLE</x:v>
      </x:c>
      <x:c r="J105" s="21" t="str">
        <x:v>UNAVAILABLE</x:v>
      </x:c>
      <x:c r="K105" s="21" t="str">
        <x:v>MISSING_ALL</x:v>
      </x:c>
      <x:c r="L105" s="21" t="str">
        <x:v>NONE</x:v>
      </x:c>
      <x:c r="M105" s="21" t="str"/>
    </x:row>
    <x:row r="106">
      <x:c r="A106" s="21" t="str">
        <x:v>product.spac_flag</x:v>
      </x:c>
      <x:c r="B106" s="21" t="str">
        <x:v>domestic_etp</x:v>
      </x:c>
      <x:c r="C106" s="21" t="str">
        <x:v>PREF01N001</x:v>
      </x:c>
      <x:c r="D106" s="21" t="str">
        <x:v>pd_spac_yn</x:v>
      </x:c>
      <x:c r="E106" s="21" t="str">
        <x:v>DIMENSION</x:v>
      </x:c>
      <x:c r="F106" s="21" t="str">
        <x:v>string</x:v>
      </x:c>
      <x:c r="G106" s="21" t="str">
        <x:v>BOOLEAN_CODE</x:v>
      </x:c>
      <x:c r="H106" s="21" t="str">
        <x:v>eq|in</x:v>
      </x:c>
      <x:c r="I106" s="21" t="str">
        <x:v>ALLOWED</x:v>
      </x:c>
      <x:c r="J106" s="21" t="str">
        <x:v>ALLOWED</x:v>
      </x:c>
      <x:c r="K106" s="21" t="str">
        <x:v>MISSING_ALLOWED</x:v>
      </x:c>
      <x:c r="L106" s="21" t="str">
        <x:v>NONE</x:v>
      </x:c>
      <x:c r="M106" s="21" t="str"/>
    </x:row>
    <x:row r="107">
      <x:c r="A107" s="21" t="str">
        <x:v>domestic_etp.share_count</x:v>
      </x:c>
      <x:c r="B107" s="21" t="str">
        <x:v>domestic_etp</x:v>
      </x:c>
      <x:c r="C107" s="21" t="str">
        <x:v>PREF01N001</x:v>
      </x:c>
      <x:c r="D107" s="21" t="str">
        <x:v>pd_stk_cnt</x:v>
      </x:c>
      <x:c r="E107" s="21" t="str">
        <x:v>METRIC</x:v>
      </x:c>
      <x:c r="F107" s="21" t="str">
        <x:v>decimal</x:v>
      </x:c>
      <x:c r="G107" s="21" t="str">
        <x:v>COUNT</x:v>
      </x:c>
      <x:c r="H107" s="21" t="str">
        <x:v>eq|gt|gte|lt|lte|between</x:v>
      </x:c>
      <x:c r="I107" s="21" t="str">
        <x:v>ALLOWED</x:v>
      </x:c>
      <x:c r="J107" s="21" t="str">
        <x:v>ALLOWED_WITH_COVERAGE</x:v>
      </x:c>
      <x:c r="K107" s="21" t="str">
        <x:v>VALID</x:v>
      </x:c>
      <x:c r="L107" s="21" t="str">
        <x:v>wu_upt_dt</x:v>
      </x:c>
      <x:c r="M107" s="21" t="str"/>
    </x:row>
    <x:row r="108">
      <x:c r="A108" s="21" t="str">
        <x:v>product.trading_halt_status</x:v>
      </x:c>
      <x:c r="B108" s="21" t="str">
        <x:v>domestic_etp</x:v>
      </x:c>
      <x:c r="C108" s="21" t="str">
        <x:v>PREF01N001</x:v>
      </x:c>
      <x:c r="D108" s="21" t="str">
        <x:v>pd_tr_yn</x:v>
      </x:c>
      <x:c r="E108" s="21" t="str">
        <x:v>STATUS</x:v>
      </x:c>
      <x:c r="F108" s="21" t="str">
        <x:v>string</x:v>
      </x:c>
      <x:c r="G108" s="21" t="str">
        <x:v>BOOLEAN_CODE</x:v>
      </x:c>
      <x:c r="H108" s="21" t="str">
        <x:v>eq|in</x:v>
      </x:c>
      <x:c r="I108" s="21" t="str">
        <x:v>PENDING</x:v>
      </x:c>
      <x:c r="J108" s="21" t="str">
        <x:v>BLOCKED_PENDING_DIRECTION</x:v>
      </x:c>
      <x:c r="K108" s="21" t="str">
        <x:v>MISSING_ON_QUARANTINE</x:v>
      </x:c>
      <x:c r="L108" s="21" t="str">
        <x:v>NONE</x:v>
      </x:c>
      <x:c r="M108" s="21" t="str">
        <x:v>meaning of 1 OPEN</x:v>
      </x:c>
    </x:row>
    <x:row r="109">
      <x:c r="A109" s="21" t="str">
        <x:v>domestic_etp.realtime_price</x:v>
      </x:c>
      <x:c r="B109" s="21" t="str">
        <x:v>domestic_etp</x:v>
      </x:c>
      <x:c r="C109" s="21" t="str">
        <x:v>PREF01N001</x:v>
      </x:c>
      <x:c r="D109" s="21" t="str">
        <x:v>ru_mkt_price</x:v>
      </x:c>
      <x:c r="E109" s="21" t="str">
        <x:v>UNAVAILABLE</x:v>
      </x:c>
      <x:c r="F109" s="21" t="str">
        <x:v>decimal</x:v>
      </x:c>
      <x:c r="G109" s="21" t="str">
        <x:v>KRW_PRICE_PENDING</x:v>
      </x:c>
      <x:c r="H109" s="21" t="str">
        <x:v>NONE</x:v>
      </x:c>
      <x:c r="I109" s="21" t="str">
        <x:v>UNAVAILABLE</x:v>
      </x:c>
      <x:c r="J109" s="21" t="str">
        <x:v>UNAVAILABLE</x:v>
      </x:c>
      <x:c r="K109" s="21" t="str">
        <x:v>MISSING_ALL</x:v>
      </x:c>
      <x:c r="L109" s="21" t="str">
        <x:v>NONE</x:v>
      </x:c>
      <x:c r="M109" s="21" t="str"/>
    </x:row>
    <x:row r="110">
      <x:c r="A110" s="21" t="str">
        <x:v>domestic_etp.realtime_volume</x:v>
      </x:c>
      <x:c r="B110" s="21" t="str">
        <x:v>domestic_etp</x:v>
      </x:c>
      <x:c r="C110" s="21" t="str">
        <x:v>PREF01N001</x:v>
      </x:c>
      <x:c r="D110" s="21" t="str">
        <x:v>ru_mkt_volume</x:v>
      </x:c>
      <x:c r="E110" s="21" t="str">
        <x:v>UNAVAILABLE</x:v>
      </x:c>
      <x:c r="F110" s="21" t="str">
        <x:v>decimal</x:v>
      </x:c>
      <x:c r="G110" s="21" t="str">
        <x:v>COUNT</x:v>
      </x:c>
      <x:c r="H110" s="21" t="str">
        <x:v>NONE</x:v>
      </x:c>
      <x:c r="I110" s="21" t="str">
        <x:v>UNAVAILABLE</x:v>
      </x:c>
      <x:c r="J110" s="21" t="str">
        <x:v>UNAVAILABLE</x:v>
      </x:c>
      <x:c r="K110" s="21" t="str">
        <x:v>MISSING_ALL</x:v>
      </x:c>
      <x:c r="L110" s="21" t="str">
        <x:v>NONE</x:v>
      </x:c>
      <x:c r="M110" s="21" t="str"/>
    </x:row>
    <x:row r="111">
      <x:c r="A111" s="21" t="str">
        <x:v>product.core_flag</x:v>
      </x:c>
      <x:c r="B111" s="21" t="str">
        <x:v>domestic_etp</x:v>
      </x:c>
      <x:c r="C111" s="21" t="str">
        <x:v>PREF01N001</x:v>
      </x:c>
      <x:c r="D111" s="21" t="str">
        <x:v>wu_core_yn</x:v>
      </x:c>
      <x:c r="E111" s="21" t="str">
        <x:v>DIMENSION</x:v>
      </x:c>
      <x:c r="F111" s="21" t="str">
        <x:v>string</x:v>
      </x:c>
      <x:c r="G111" s="21" t="str">
        <x:v>BOOLEAN_CODE</x:v>
      </x:c>
      <x:c r="H111" s="21" t="str">
        <x:v>eq|in</x:v>
      </x:c>
      <x:c r="I111" s="21" t="str">
        <x:v>ALLOWED</x:v>
      </x:c>
      <x:c r="J111" s="21" t="str">
        <x:v>ALLOWED</x:v>
      </x:c>
      <x:c r="K111" s="21" t="str">
        <x:v>VALID</x:v>
      </x:c>
      <x:c r="L111" s="21" t="str">
        <x:v>wu_upt_dt</x:v>
      </x:c>
      <x:c r="M111" s="21" t="str"/>
    </x:row>
    <x:row r="112">
      <x:c r="A112" s="21" t="str">
        <x:v>product.asset_class</x:v>
      </x:c>
      <x:c r="B112" s="21" t="str">
        <x:v>domestic_etp</x:v>
      </x:c>
      <x:c r="C112" s="21" t="str">
        <x:v>PREF01N001</x:v>
      </x:c>
      <x:c r="D112" s="21" t="str">
        <x:v>wu_inv_ast_type</x:v>
      </x:c>
      <x:c r="E112" s="21" t="str">
        <x:v>DIMENSION</x:v>
      </x:c>
      <x:c r="F112" s="21" t="str">
        <x:v>string</x:v>
      </x:c>
      <x:c r="G112" s="21" t="str">
        <x:v>CATEGORY</x:v>
      </x:c>
      <x:c r="H112" s="21" t="str">
        <x:v>eq|in|contains</x:v>
      </x:c>
      <x:c r="I112" s="21" t="str">
        <x:v>ALLOWED</x:v>
      </x:c>
      <x:c r="J112" s="21" t="str">
        <x:v>ALLOWED</x:v>
      </x:c>
      <x:c r="K112" s="21" t="str">
        <x:v>VALID</x:v>
      </x:c>
      <x:c r="L112" s="21" t="str">
        <x:v>wu_upt_dt</x:v>
      </x:c>
      <x:c r="M112" s="21" t="str"/>
    </x:row>
    <x:row r="113">
      <x:c r="A113" s="21" t="str">
        <x:v>product.investment_region</x:v>
      </x:c>
      <x:c r="B113" s="21" t="str">
        <x:v>domestic_etp</x:v>
      </x:c>
      <x:c r="C113" s="21" t="str">
        <x:v>PREF01N001</x:v>
      </x:c>
      <x:c r="D113" s="21" t="str">
        <x:v>wu_inv_rgn</x:v>
      </x:c>
      <x:c r="E113" s="21" t="str">
        <x:v>DIMENSION</x:v>
      </x:c>
      <x:c r="F113" s="21" t="str">
        <x:v>string</x:v>
      </x:c>
      <x:c r="G113" s="21" t="str">
        <x:v>CATEGORY</x:v>
      </x:c>
      <x:c r="H113" s="21" t="str">
        <x:v>eq|in|contains</x:v>
      </x:c>
      <x:c r="I113" s="21" t="str">
        <x:v>ALLOWED</x:v>
      </x:c>
      <x:c r="J113" s="21" t="str">
        <x:v>ALLOWED</x:v>
      </x:c>
      <x:c r="K113" s="21" t="str">
        <x:v>VALID</x:v>
      </x:c>
      <x:c r="L113" s="21" t="str">
        <x:v>wu_upt_dt</x:v>
      </x:c>
      <x:c r="M113" s="21" t="str"/>
    </x:row>
    <x:row r="114">
      <x:c r="A114" s="21" t="str">
        <x:v>domestic_etp.weekly_as_of</x:v>
      </x:c>
      <x:c r="B114" s="21" t="str">
        <x:v>domestic_etp</x:v>
      </x:c>
      <x:c r="C114" s="21" t="str">
        <x:v>PREF01N001</x:v>
      </x:c>
      <x:c r="D114" s="21" t="str">
        <x:v>wu_upt_dt</x:v>
      </x:c>
      <x:c r="E114" s="21" t="str">
        <x:v>AS_OF</x:v>
      </x:c>
      <x:c r="F114" s="21" t="str">
        <x:v>date</x:v>
      </x:c>
      <x:c r="G114" s="21" t="str">
        <x:v>YYYYMMDD</x:v>
      </x:c>
      <x:c r="H114" s="21" t="str">
        <x:v>eq|gt|gte|lt|lte|between</x:v>
      </x:c>
      <x:c r="I114" s="21" t="str">
        <x:v>ALLOWED</x:v>
      </x:c>
      <x:c r="J114" s="21" t="str">
        <x:v>ALLOWED</x:v>
      </x:c>
      <x:c r="K114" s="21" t="str">
        <x:v>MISSING_ALLOWED</x:v>
      </x:c>
      <x:c r="L114" s="21" t="str">
        <x:v>NONE</x:v>
      </x:c>
      <x:c r="M114" s="21" t="str"/>
    </x:row>
    <x:row r="115">
      <x:c r="A115" s="21" t="str">
        <x:v>overseas_etp.benchmark</x:v>
      </x:c>
      <x:c r="B115" s="21" t="str">
        <x:v>overseas_etp</x:v>
      </x:c>
      <x:c r="C115" s="21" t="str">
        <x:v>PREF02N001</x:v>
      </x:c>
      <x:c r="D115" s="21" t="str">
        <x:v>cu_base_index</x:v>
      </x:c>
      <x:c r="E115" s="21" t="str">
        <x:v>DIMENSION</x:v>
      </x:c>
      <x:c r="F115" s="21" t="str">
        <x:v>string</x:v>
      </x:c>
      <x:c r="G115" s="21" t="str">
        <x:v>TEXT</x:v>
      </x:c>
      <x:c r="H115" s="21" t="str">
        <x:v>eq|contains|starts_with</x:v>
      </x:c>
      <x:c r="I115" s="21" t="str">
        <x:v>ALLOWED</x:v>
      </x:c>
      <x:c r="J115" s="21" t="str">
        <x:v>ALLOWED</x:v>
      </x:c>
      <x:c r="K115" s="21" t="str">
        <x:v>MISSING_ALLOWED</x:v>
      </x:c>
      <x:c r="L115" s="21" t="str">
        <x:v>cu_upt_dt</x:v>
      </x:c>
      <x:c r="M115" s="21" t="str">
        <x:v>sentinel prose may mean unavailable</x:v>
      </x:c>
    </x:row>
    <x:row r="116">
      <x:c r="A116" s="21" t="str">
        <x:v>overseas_etp.expense_ratio</x:v>
      </x:c>
      <x:c r="B116" s="21" t="str">
        <x:v>overseas_etp</x:v>
      </x:c>
      <x:c r="C116" s="21" t="str">
        <x:v>PREF02N001</x:v>
      </x:c>
      <x:c r="D116" s="21" t="str">
        <x:v>cu_charge_rt</x:v>
      </x:c>
      <x:c r="E116" s="21" t="str">
        <x:v>METRIC</x:v>
      </x:c>
      <x:c r="F116" s="21" t="str">
        <x:v>decimal</x:v>
      </x:c>
      <x:c r="G116" s="21" t="str">
        <x:v>PERCENTAGE_POINT_PENDING</x:v>
      </x:c>
      <x:c r="H116" s="21" t="str">
        <x:v>eq|gt|gte|lt|lte|between</x:v>
      </x:c>
      <x:c r="I116" s="21" t="str">
        <x:v>ALLOWED</x:v>
      </x:c>
      <x:c r="J116" s="21" t="str">
        <x:v>BLOCKED_PENDING_ZERO_POLICY</x:v>
      </x:c>
      <x:c r="K116" s="21" t="str">
        <x:v>ZERO_UNKNOWN</x:v>
      </x:c>
      <x:c r="L116" s="21" t="str">
        <x:v>cu_upt_dt</x:v>
      </x:c>
      <x:c r="M116" s="21" t="str"/>
    </x:row>
    <x:row r="117">
      <x:c r="A117" s="21" t="str">
        <x:v>product.type_validation_flag</x:v>
      </x:c>
      <x:c r="B117" s="21" t="str">
        <x:v>overseas_etp</x:v>
      </x:c>
      <x:c r="C117" s="21" t="str">
        <x:v>PREF02N001</x:v>
      </x:c>
      <x:c r="D117" s="21" t="str">
        <x:v>cu_etn_yn</x:v>
      </x:c>
      <x:c r="E117" s="21" t="str">
        <x:v>VALIDATION</x:v>
      </x:c>
      <x:c r="F117" s="21" t="str">
        <x:v>string</x:v>
      </x:c>
      <x:c r="G117" s="21" t="str">
        <x:v>BOOLEAN_CODE</x:v>
      </x:c>
      <x:c r="H117" s="21" t="str">
        <x:v>eq|in</x:v>
      </x:c>
      <x:c r="I117" s="21" t="str">
        <x:v>CODE_ONLY</x:v>
      </x:c>
      <x:c r="J117" s="21" t="str">
        <x:v>BLOCKED</x:v>
      </x:c>
      <x:c r="K117" s="21" t="str">
        <x:v>BLANK_MEANS_ETF_VALIDATED</x:v>
      </x:c>
      <x:c r="L117" s="21" t="str">
        <x:v>NONE</x:v>
      </x:c>
      <x:c r="M117" s="21" t="str">
        <x:v>59 Y and otherwise blank</x:v>
      </x:c>
    </x:row>
    <x:row r="118">
      <x:c r="A118" s="21" t="str">
        <x:v>product.manager</x:v>
      </x:c>
      <x:c r="B118" s="21" t="str">
        <x:v>overseas_etp</x:v>
      </x:c>
      <x:c r="C118" s="21" t="str">
        <x:v>PREF02N001</x:v>
      </x:c>
      <x:c r="D118" s="21" t="str">
        <x:v>cu_fund_mgmt_co</x:v>
      </x:c>
      <x:c r="E118" s="21" t="str">
        <x:v>DIMENSION</x:v>
      </x:c>
      <x:c r="F118" s="21" t="str">
        <x:v>string</x:v>
      </x:c>
      <x:c r="G118" s="21" t="str">
        <x:v>TEXT</x:v>
      </x:c>
      <x:c r="H118" s="21" t="str">
        <x:v>eq|contains|starts_with</x:v>
      </x:c>
      <x:c r="I118" s="21" t="str">
        <x:v>ALLOWED</x:v>
      </x:c>
      <x:c r="J118" s="21" t="str">
        <x:v>ALLOWED</x:v>
      </x:c>
      <x:c r="K118" s="21" t="str">
        <x:v>MISSING_ON_QUARANTINE</x:v>
      </x:c>
      <x:c r="L118" s="21" t="str">
        <x:v>cu_upt_dt</x:v>
      </x:c>
      <x:c r="M118" s="21" t="str"/>
    </x:row>
    <x:row r="119">
      <x:c r="A119" s="21" t="str">
        <x:v>overseas_etp.index_replication_method</x:v>
      </x:c>
      <x:c r="B119" s="21" t="str">
        <x:v>overseas_etp</x:v>
      </x:c>
      <x:c r="C119" s="21" t="str">
        <x:v>PREF02N001</x:v>
      </x:c>
      <x:c r="D119" s="21" t="str">
        <x:v>cu_index_repl_mthd</x:v>
      </x:c>
      <x:c r="E119" s="21" t="str">
        <x:v>DIMENSION</x:v>
      </x:c>
      <x:c r="F119" s="21" t="str">
        <x:v>string</x:v>
      </x:c>
      <x:c r="G119" s="21" t="str">
        <x:v>CATEGORY</x:v>
      </x:c>
      <x:c r="H119" s="21" t="str">
        <x:v>eq|in</x:v>
      </x:c>
      <x:c r="I119" s="21" t="str">
        <x:v>ALLOWED</x:v>
      </x:c>
      <x:c r="J119" s="21" t="str">
        <x:v>ALLOWED_WITH_COVERAGE</x:v>
      </x:c>
      <x:c r="K119" s="21" t="str">
        <x:v>MISSING_ALLOWED</x:v>
      </x:c>
      <x:c r="L119" s="21" t="str">
        <x:v>cu_upt_dt</x:v>
      </x:c>
      <x:c r="M119" s="21" t="str"/>
    </x:row>
    <x:row r="120">
      <x:c r="A120" s="21" t="str">
        <x:v>overseas_etp.index_tracking_flag</x:v>
      </x:c>
      <x:c r="B120" s="21" t="str">
        <x:v>overseas_etp</x:v>
      </x:c>
      <x:c r="C120" s="21" t="str">
        <x:v>PREF02N001</x:v>
      </x:c>
      <x:c r="D120" s="21" t="str">
        <x:v>cu_index_tracking_yn</x:v>
      </x:c>
      <x:c r="E120" s="21" t="str">
        <x:v>DIMENSION</x:v>
      </x:c>
      <x:c r="F120" s="21" t="str">
        <x:v>string</x:v>
      </x:c>
      <x:c r="G120" s="21" t="str">
        <x:v>BOOLEAN_CODE</x:v>
      </x:c>
      <x:c r="H120" s="21" t="str">
        <x:v>eq|in</x:v>
      </x:c>
      <x:c r="I120" s="21" t="str">
        <x:v>ALLOWED</x:v>
      </x:c>
      <x:c r="J120" s="21" t="str">
        <x:v>ALLOWED_WITH_COVERAGE</x:v>
      </x:c>
      <x:c r="K120" s="21" t="str">
        <x:v>MISSING_ALLOWED</x:v>
      </x:c>
      <x:c r="L120" s="21" t="str">
        <x:v>cu_upt_dt</x:v>
      </x:c>
      <x:c r="M120" s="21" t="str"/>
    </x:row>
    <x:row r="121">
      <x:c r="A121" s="21" t="str">
        <x:v>overseas_etp.inverse_short_flag</x:v>
      </x:c>
      <x:c r="B121" s="21" t="str">
        <x:v>overseas_etp</x:v>
      </x:c>
      <x:c r="C121" s="21" t="str">
        <x:v>PREF02N001</x:v>
      </x:c>
      <x:c r="D121" s="21" t="str">
        <x:v>cu_inverse_short_yn</x:v>
      </x:c>
      <x:c r="E121" s="21" t="str">
        <x:v>DIMENSION</x:v>
      </x:c>
      <x:c r="F121" s="21" t="str">
        <x:v>string</x:v>
      </x:c>
      <x:c r="G121" s="21" t="str">
        <x:v>BOOLEAN_CODE</x:v>
      </x:c>
      <x:c r="H121" s="21" t="str">
        <x:v>eq|in</x:v>
      </x:c>
      <x:c r="I121" s="21" t="str">
        <x:v>ALLOWED</x:v>
      </x:c>
      <x:c r="J121" s="21" t="str">
        <x:v>ALLOWED_WITH_COVERAGE</x:v>
      </x:c>
      <x:c r="K121" s="21" t="str">
        <x:v>MISSING_ALLOWED</x:v>
      </x:c>
      <x:c r="L121" s="21" t="str">
        <x:v>cu_upt_dt</x:v>
      </x:c>
      <x:c r="M121" s="21" t="str">
        <x:v>do not infer leverage</x:v>
      </x:c>
    </x:row>
    <x:row r="122">
      <x:c r="A122" s="21" t="str">
        <x:v>overseas_etp.leverage_factor</x:v>
      </x:c>
      <x:c r="B122" s="21" t="str">
        <x:v>overseas_etp</x:v>
      </x:c>
      <x:c r="C122" s="21" t="str">
        <x:v>PREF02N001</x:v>
      </x:c>
      <x:c r="D122" s="21" t="str">
        <x:v>cu_lev_fector</x:v>
      </x:c>
      <x:c r="E122" s="21" t="str">
        <x:v>UNAVAILABLE</x:v>
      </x:c>
      <x:c r="F122" s="21" t="str">
        <x:v>decimal</x:v>
      </x:c>
      <x:c r="G122" s="21" t="str">
        <x:v>MULTIPLE</x:v>
      </x:c>
      <x:c r="H122" s="21" t="str">
        <x:v>NONE</x:v>
      </x:c>
      <x:c r="I122" s="21" t="str">
        <x:v>UNAVAILABLE</x:v>
      </x:c>
      <x:c r="J122" s="21" t="str">
        <x:v>UNAVAILABLE</x:v>
      </x:c>
      <x:c r="K122" s="21" t="str">
        <x:v>MISSING_ALL</x:v>
      </x:c>
      <x:c r="L122" s="21" t="str">
        <x:v>cu_upt_dt</x:v>
      </x:c>
      <x:c r="M122" s="21" t="str"/>
    </x:row>
    <x:row r="123">
      <x:c r="A123" s="21" t="str">
        <x:v>overseas_etp.strategy</x:v>
      </x:c>
      <x:c r="B123" s="21" t="str">
        <x:v>overseas_etp</x:v>
      </x:c>
      <x:c r="C123" s="21" t="str">
        <x:v>PREF02N001</x:v>
      </x:c>
      <x:c r="D123" s="21" t="str">
        <x:v>cu_strtegy</x:v>
      </x:c>
      <x:c r="E123" s="21" t="str">
        <x:v>DIMENSION</x:v>
      </x:c>
      <x:c r="F123" s="21" t="str">
        <x:v>string</x:v>
      </x:c>
      <x:c r="G123" s="21" t="str">
        <x:v>TEXT</x:v>
      </x:c>
      <x:c r="H123" s="21" t="str">
        <x:v>contains|semantic</x:v>
      </x:c>
      <x:c r="I123" s="21" t="str">
        <x:v>ALLOWED</x:v>
      </x:c>
      <x:c r="J123" s="21" t="str">
        <x:v>BLOCKED</x:v>
      </x:c>
      <x:c r="K123" s="21" t="str">
        <x:v>TRIM_WHITESPACE</x:v>
      </x:c>
      <x:c r="L123" s="21" t="str">
        <x:v>cu_upt_dt</x:v>
      </x:c>
      <x:c r="M123" s="21" t="str">
        <x:v>semantic retrieval only</x:v>
      </x:c>
    </x:row>
    <x:row r="124">
      <x:c r="A124" s="21" t="str">
        <x:v>overseas_etp.control_as_of</x:v>
      </x:c>
      <x:c r="B124" s="21" t="str">
        <x:v>overseas_etp</x:v>
      </x:c>
      <x:c r="C124" s="21" t="str">
        <x:v>PREF02N001</x:v>
      </x:c>
      <x:c r="D124" s="21" t="str">
        <x:v>cu_upt_dt</x:v>
      </x:c>
      <x:c r="E124" s="21" t="str">
        <x:v>AS_OF</x:v>
      </x:c>
      <x:c r="F124" s="21" t="str">
        <x:v>date</x:v>
      </x:c>
      <x:c r="G124" s="21" t="str">
        <x:v>YYYYMMDD</x:v>
      </x:c>
      <x:c r="H124" s="21" t="str">
        <x:v>eq|gt|gte|lt|lte|between</x:v>
      </x:c>
      <x:c r="I124" s="21" t="str">
        <x:v>ALLOWED</x:v>
      </x:c>
      <x:c r="J124" s="21" t="str">
        <x:v>ALLOWED</x:v>
      </x:c>
      <x:c r="K124" s="21" t="str">
        <x:v>VALID</x:v>
      </x:c>
      <x:c r="L124" s="21" t="str">
        <x:v>NONE</x:v>
      </x:c>
      <x:c r="M124" s="21" t="str"/>
    </x:row>
    <x:row r="125">
      <x:c r="A125" s="21" t="str">
        <x:v>overseas_etp.base_date_match_flag</x:v>
      </x:c>
      <x:c r="B125" s="21" t="str">
        <x:v>overseas_etp</x:v>
      </x:c>
      <x:c r="C125" s="21" t="str">
        <x:v>PREF02N001</x:v>
      </x:c>
      <x:c r="D125" s="21" t="str">
        <x:v>du_base_dt_match_yn</x:v>
      </x:c>
      <x:c r="E125" s="21" t="str">
        <x:v>QUALITY</x:v>
      </x:c>
      <x:c r="F125" s="21" t="str">
        <x:v>string</x:v>
      </x:c>
      <x:c r="G125" s="21" t="str">
        <x:v>BOOLEAN_CODE</x:v>
      </x:c>
      <x:c r="H125" s="21" t="str">
        <x:v>eq|in</x:v>
      </x:c>
      <x:c r="I125" s="21" t="str">
        <x:v>CODE_ONLY</x:v>
      </x:c>
      <x:c r="J125" s="21" t="str">
        <x:v>BLOCKED</x:v>
      </x:c>
      <x:c r="K125" s="21" t="str">
        <x:v>MISSING_ON_PARTIAL</x:v>
      </x:c>
      <x:c r="L125" s="21" t="str">
        <x:v>du_upt_dt</x:v>
      </x:c>
      <x:c r="M125" s="21" t="str"/>
    </x:row>
    <x:row r="126">
      <x:c r="A126" s="21" t="str">
        <x:v>overseas_etp.base_price</x:v>
      </x:c>
      <x:c r="B126" s="21" t="str">
        <x:v>overseas_etp</x:v>
      </x:c>
      <x:c r="C126" s="21" t="str">
        <x:v>PREF02N001</x:v>
      </x:c>
      <x:c r="D126" s="21" t="str">
        <x:v>du_bpr</x:v>
      </x:c>
      <x:c r="E126" s="21" t="str">
        <x:v>METRIC</x:v>
      </x:c>
      <x:c r="F126" s="21" t="str">
        <x:v>decimal</x:v>
      </x:c>
      <x:c r="G126" s="21" t="str">
        <x:v>TRADING_CURRENCY</x:v>
      </x:c>
      <x:c r="H126" s="21" t="str">
        <x:v>eq|gt|gte|lt|lte|between</x:v>
      </x:c>
      <x:c r="I126" s="21" t="str">
        <x:v>ALLOWED</x:v>
      </x:c>
      <x:c r="J126" s="21" t="str">
        <x:v>ALLOWED_WITH_DATE</x:v>
      </x:c>
      <x:c r="K126" s="21" t="str">
        <x:v>MISSING_ON_PARTIAL</x:v>
      </x:c>
      <x:c r="L126" s="21" t="str">
        <x:v>du_upt_dt</x:v>
      </x:c>
      <x:c r="M126" s="21" t="str"/>
    </x:row>
    <x:row r="127">
      <x:c r="A127" s="21" t="str">
        <x:v>overseas_etp.close_price</x:v>
      </x:c>
      <x:c r="B127" s="21" t="str">
        <x:v>overseas_etp</x:v>
      </x:c>
      <x:c r="C127" s="21" t="str">
        <x:v>PREF02N001</x:v>
      </x:c>
      <x:c r="D127" s="21" t="str">
        <x:v>du_clpr</x:v>
      </x:c>
      <x:c r="E127" s="21" t="str">
        <x:v>METRIC</x:v>
      </x:c>
      <x:c r="F127" s="21" t="str">
        <x:v>decimal</x:v>
      </x:c>
      <x:c r="G127" s="21" t="str">
        <x:v>TRADING_CURRENCY</x:v>
      </x:c>
      <x:c r="H127" s="21" t="str">
        <x:v>eq|gt|gte|lt|lte|between</x:v>
      </x:c>
      <x:c r="I127" s="21" t="str">
        <x:v>ALLOWED</x:v>
      </x:c>
      <x:c r="J127" s="21" t="str">
        <x:v>ALLOWED_WITH_OUTLIER_REVIEW</x:v>
      </x:c>
      <x:c r="K127" s="21" t="str">
        <x:v>MISSING_ON_PARTIAL</x:v>
      </x:c>
      <x:c r="L127" s="21" t="str">
        <x:v>du_clpr_base_dt</x:v>
      </x:c>
      <x:c r="M127" s="21" t="str">
        <x:v>not realtime; source scale/decimal rule requires briefing confirmation because extreme values are preserved</x:v>
      </x:c>
    </x:row>
    <x:row r="128">
      <x:c r="A128" s="21" t="str">
        <x:v>overseas_etp.close_price_as_of</x:v>
      </x:c>
      <x:c r="B128" s="21" t="str">
        <x:v>overseas_etp</x:v>
      </x:c>
      <x:c r="C128" s="21" t="str">
        <x:v>PREF02N001</x:v>
      </x:c>
      <x:c r="D128" s="21" t="str">
        <x:v>du_clpr_base_dt</x:v>
      </x:c>
      <x:c r="E128" s="21" t="str">
        <x:v>AS_OF</x:v>
      </x:c>
      <x:c r="F128" s="21" t="str">
        <x:v>date</x:v>
      </x:c>
      <x:c r="G128" s="21" t="str">
        <x:v>YYYYMMDD</x:v>
      </x:c>
      <x:c r="H128" s="21" t="str">
        <x:v>eq|gt|gte|lt|lte|between</x:v>
      </x:c>
      <x:c r="I128" s="21" t="str">
        <x:v>ALLOWED</x:v>
      </x:c>
      <x:c r="J128" s="21" t="str">
        <x:v>ALLOWED</x:v>
      </x:c>
      <x:c r="K128" s="21" t="str">
        <x:v>MISSING_ON_PARTIAL</x:v>
      </x:c>
      <x:c r="L128" s="21" t="str">
        <x:v>NONE</x:v>
      </x:c>
      <x:c r="M128" s="21" t="str"/>
    </x:row>
    <x:row r="129">
      <x:c r="A129" s="21" t="str">
        <x:v>overseas_etp.close_price_source</x:v>
      </x:c>
      <x:c r="B129" s="21" t="str">
        <x:v>overseas_etp</x:v>
      </x:c>
      <x:c r="C129" s="21" t="str">
        <x:v>PREF02N001</x:v>
      </x:c>
      <x:c r="D129" s="21" t="str">
        <x:v>du_clpr_src</x:v>
      </x:c>
      <x:c r="E129" s="21" t="str">
        <x:v>DIMENSION</x:v>
      </x:c>
      <x:c r="F129" s="21" t="str">
        <x:v>string</x:v>
      </x:c>
      <x:c r="G129" s="21" t="str">
        <x:v>CODE</x:v>
      </x:c>
      <x:c r="H129" s="21" t="str">
        <x:v>eq|in</x:v>
      </x:c>
      <x:c r="I129" s="21" t="str">
        <x:v>CODE_ONLY</x:v>
      </x:c>
      <x:c r="J129" s="21" t="str">
        <x:v>BLOCKED</x:v>
      </x:c>
      <x:c r="K129" s="21" t="str">
        <x:v>MISSING_ON_PARTIAL</x:v>
      </x:c>
      <x:c r="L129" s="21" t="str">
        <x:v>du_clpr_base_dt</x:v>
      </x:c>
      <x:c r="M129" s="21" t="str"/>
    </x:row>
    <x:row r="130">
      <x:c r="A130" s="21" t="str">
        <x:v>overseas_etp.discrepancy_rate</x:v>
      </x:c>
      <x:c r="B130" s="21" t="str">
        <x:v>overseas_etp</x:v>
      </x:c>
      <x:c r="C130" s="21" t="str">
        <x:v>PREF02N001</x:v>
      </x:c>
      <x:c r="D130" s="21" t="str">
        <x:v>du_diff_rt</x:v>
      </x:c>
      <x:c r="E130" s="21" t="str">
        <x:v>METRIC</x:v>
      </x:c>
      <x:c r="F130" s="21" t="str">
        <x:v>decimal</x:v>
      </x:c>
      <x:c r="G130" s="21" t="str">
        <x:v>PERCENTAGE_POINT_PENDING</x:v>
      </x:c>
      <x:c r="H130" s="21" t="str">
        <x:v>eq|gt|gte|lt|lte|between</x:v>
      </x:c>
      <x:c r="I130" s="21" t="str">
        <x:v>BLOCKED_LOW_COVERAGE</x:v>
      </x:c>
      <x:c r="J130" s="21" t="str">
        <x:v>BLOCKED_LOW_COVERAGE</x:v>
      </x:c>
      <x:c r="K130" s="21" t="str">
        <x:v>SEVERELY_PARTIAL</x:v>
      </x:c>
      <x:c r="L130" s="21" t="str">
        <x:v>du_upt_dt</x:v>
      </x:c>
      <x:c r="M130" s="21" t="str">
        <x:v>3 present</x:v>
      </x:c>
    </x:row>
    <x:row r="131">
      <x:c r="A131" s="21" t="str">
        <x:v>overseas_etp.return_1d</x:v>
      </x:c>
      <x:c r="B131" s="21" t="str">
        <x:v>overseas_etp</x:v>
      </x:c>
      <x:c r="C131" s="21" t="str">
        <x:v>PREF02N001</x:v>
      </x:c>
      <x:c r="D131" s="21" t="str">
        <x:v>du_er_1d</x:v>
      </x:c>
      <x:c r="E131" s="21" t="str">
        <x:v>METRIC</x:v>
      </x:c>
      <x:c r="F131" s="21" t="str">
        <x:v>decimal</x:v>
      </x:c>
      <x:c r="G131" s="21" t="str">
        <x:v>PERCENTAGE_POINT_PENDING</x:v>
      </x:c>
      <x:c r="H131" s="21" t="str">
        <x:v>eq|gt|gte|lt|lte|between</x:v>
      </x:c>
      <x:c r="I131" s="21" t="str">
        <x:v>BLOCKED_CONSTANT</x:v>
      </x:c>
      <x:c r="J131" s="21" t="str">
        <x:v>BLOCKED_CONSTANT</x:v>
      </x:c>
      <x:c r="K131" s="21" t="str">
        <x:v>UNUSABLE_CONSTANT</x:v>
      </x:c>
      <x:c r="L131" s="21" t="str">
        <x:v>du_upt_dt</x:v>
      </x:c>
      <x:c r="M131" s="21" t="str">
        <x:v>5388 present all zero</x:v>
      </x:c>
    </x:row>
    <x:row r="132">
      <x:c r="A132" s="21" t="str">
        <x:v>overseas_etp.high_price</x:v>
      </x:c>
      <x:c r="B132" s="21" t="str">
        <x:v>overseas_etp</x:v>
      </x:c>
      <x:c r="C132" s="21" t="str">
        <x:v>PREF02N001</x:v>
      </x:c>
      <x:c r="D132" s="21" t="str">
        <x:v>du_hpr</x:v>
      </x:c>
      <x:c r="E132" s="21" t="str">
        <x:v>METRIC</x:v>
      </x:c>
      <x:c r="F132" s="21" t="str">
        <x:v>decimal</x:v>
      </x:c>
      <x:c r="G132" s="21" t="str">
        <x:v>TRADING_CURRENCY</x:v>
      </x:c>
      <x:c r="H132" s="21" t="str">
        <x:v>eq|gt|gte|lt|lte|between</x:v>
      </x:c>
      <x:c r="I132" s="21" t="str">
        <x:v>ALLOWED</x:v>
      </x:c>
      <x:c r="J132" s="21" t="str">
        <x:v>ALLOWED_WITH_DATE</x:v>
      </x:c>
      <x:c r="K132" s="21" t="str">
        <x:v>MISSING_ON_PARTIAL</x:v>
      </x:c>
      <x:c r="L132" s="21" t="str">
        <x:v>du_upt_dt</x:v>
      </x:c>
      <x:c r="M132" s="21" t="str"/>
    </x:row>
    <x:row r="133">
      <x:c r="A133" s="21" t="str">
        <x:v>overseas_etp.aum_last</x:v>
      </x:c>
      <x:c r="B133" s="21" t="str">
        <x:v>overseas_etp</x:v>
      </x:c>
      <x:c r="C133" s="21" t="str">
        <x:v>PREF02N001</x:v>
      </x:c>
      <x:c r="D133" s="21" t="str">
        <x:v>du_last_aum</x:v>
      </x:c>
      <x:c r="E133" s="21" t="str">
        <x:v>METRIC</x:v>
      </x:c>
      <x:c r="F133" s="21" t="str">
        <x:v>decimal</x:v>
      </x:c>
      <x:c r="G133" s="21" t="str">
        <x:v>CURRENCY_CONTEXT_REQUIRED</x:v>
      </x:c>
      <x:c r="H133" s="21" t="str">
        <x:v>eq|gt|gte|lt|lte|between</x:v>
      </x:c>
      <x:c r="I133" s="21" t="str">
        <x:v>ALLOWED</x:v>
      </x:c>
      <x:c r="J133" s="21" t="str">
        <x:v>ALLOWED_WITH_CURRENCY</x:v>
      </x:c>
      <x:c r="K133" s="21" t="str">
        <x:v>ZERO_UNKNOWN</x:v>
      </x:c>
      <x:c r="L133" s="21" t="str">
        <x:v>du_nav_base_dt</x:v>
      </x:c>
      <x:c r="M133" s="21" t="str">
        <x:v>no cross currency ranking</x:v>
      </x:c>
    </x:row>
    <x:row r="134">
      <x:c r="A134" s="21" t="str">
        <x:v>overseas_etp.nav_last</x:v>
      </x:c>
      <x:c r="B134" s="21" t="str">
        <x:v>overseas_etp</x:v>
      </x:c>
      <x:c r="C134" s="21" t="str">
        <x:v>PREF02N001</x:v>
      </x:c>
      <x:c r="D134" s="21" t="str">
        <x:v>du_last_nav</x:v>
      </x:c>
      <x:c r="E134" s="21" t="str">
        <x:v>METRIC</x:v>
      </x:c>
      <x:c r="F134" s="21" t="str">
        <x:v>decimal</x:v>
      </x:c>
      <x:c r="G134" s="21" t="str">
        <x:v>PRODUCT_CURRENCY_PENDING</x:v>
      </x:c>
      <x:c r="H134" s="21" t="str">
        <x:v>eq|gt|gte|lt|lte|between</x:v>
      </x:c>
      <x:c r="I134" s="21" t="str">
        <x:v>ALLOWED</x:v>
      </x:c>
      <x:c r="J134" s="21" t="str">
        <x:v>ALLOWED_WITH_COVERAGE</x:v>
      </x:c>
      <x:c r="K134" s="21" t="str">
        <x:v>MISSING_ALLOWED</x:v>
      </x:c>
      <x:c r="L134" s="21" t="str">
        <x:v>du_nav_base_dt</x:v>
      </x:c>
      <x:c r="M134" s="21" t="str"/>
    </x:row>
    <x:row r="135">
      <x:c r="A135" s="21" t="str">
        <x:v>overseas_etp.low_price</x:v>
      </x:c>
      <x:c r="B135" s="21" t="str">
        <x:v>overseas_etp</x:v>
      </x:c>
      <x:c r="C135" s="21" t="str">
        <x:v>PREF02N001</x:v>
      </x:c>
      <x:c r="D135" s="21" t="str">
        <x:v>du_lpr</x:v>
      </x:c>
      <x:c r="E135" s="21" t="str">
        <x:v>METRIC</x:v>
      </x:c>
      <x:c r="F135" s="21" t="str">
        <x:v>decimal</x:v>
      </x:c>
      <x:c r="G135" s="21" t="str">
        <x:v>TRADING_CURRENCY</x:v>
      </x:c>
      <x:c r="H135" s="21" t="str">
        <x:v>eq|gt|gte|lt|lte|between</x:v>
      </x:c>
      <x:c r="I135" s="21" t="str">
        <x:v>ALLOWED</x:v>
      </x:c>
      <x:c r="J135" s="21" t="str">
        <x:v>ALLOWED_WITH_DATE</x:v>
      </x:c>
      <x:c r="K135" s="21" t="str">
        <x:v>MISSING_ON_PARTIAL</x:v>
      </x:c>
      <x:c r="L135" s="21" t="str">
        <x:v>du_upt_dt</x:v>
      </x:c>
      <x:c r="M135" s="21" t="str"/>
    </x:row>
    <x:row r="136">
      <x:c r="A136" s="21" t="str">
        <x:v>overseas_etp.nav_as_of</x:v>
      </x:c>
      <x:c r="B136" s="21" t="str">
        <x:v>overseas_etp</x:v>
      </x:c>
      <x:c r="C136" s="21" t="str">
        <x:v>PREF02N001</x:v>
      </x:c>
      <x:c r="D136" s="21" t="str">
        <x:v>du_nav_base_dt</x:v>
      </x:c>
      <x:c r="E136" s="21" t="str">
        <x:v>AS_OF</x:v>
      </x:c>
      <x:c r="F136" s="21" t="str">
        <x:v>timestamp</x:v>
      </x:c>
      <x:c r="G136" s="21" t="str">
        <x:v>TIMESTAMP</x:v>
      </x:c>
      <x:c r="H136" s="21" t="str">
        <x:v>eq|gt|gte|lt|lte|between</x:v>
      </x:c>
      <x:c r="I136" s="21" t="str">
        <x:v>ALLOWED</x:v>
      </x:c>
      <x:c r="J136" s="21" t="str">
        <x:v>ALLOWED</x:v>
      </x:c>
      <x:c r="K136" s="21" t="str">
        <x:v>VALID</x:v>
      </x:c>
      <x:c r="L136" s="21" t="str">
        <x:v>NONE</x:v>
      </x:c>
      <x:c r="M136" s="21" t="str"/>
    </x:row>
    <x:row r="137">
      <x:c r="A137" s="21" t="str">
        <x:v>overseas_etp.open_price</x:v>
      </x:c>
      <x:c r="B137" s="21" t="str">
        <x:v>overseas_etp</x:v>
      </x:c>
      <x:c r="C137" s="21" t="str">
        <x:v>PREF02N001</x:v>
      </x:c>
      <x:c r="D137" s="21" t="str">
        <x:v>du_opr</x:v>
      </x:c>
      <x:c r="E137" s="21" t="str">
        <x:v>METRIC</x:v>
      </x:c>
      <x:c r="F137" s="21" t="str">
        <x:v>decimal</x:v>
      </x:c>
      <x:c r="G137" s="21" t="str">
        <x:v>TRADING_CURRENCY</x:v>
      </x:c>
      <x:c r="H137" s="21" t="str">
        <x:v>eq|gt|gte|lt|lte|between</x:v>
      </x:c>
      <x:c r="I137" s="21" t="str">
        <x:v>ALLOWED</x:v>
      </x:c>
      <x:c r="J137" s="21" t="str">
        <x:v>ALLOWED_WITH_DATE</x:v>
      </x:c>
      <x:c r="K137" s="21" t="str">
        <x:v>MISSING_ON_PARTIAL</x:v>
      </x:c>
      <x:c r="L137" s="21" t="str">
        <x:v>du_upt_dt</x:v>
      </x:c>
      <x:c r="M137" s="21" t="str"/>
    </x:row>
    <x:row r="138">
      <x:c r="A138" s="21" t="str">
        <x:v>overseas_etp.daily_as_of</x:v>
      </x:c>
      <x:c r="B138" s="21" t="str">
        <x:v>overseas_etp</x:v>
      </x:c>
      <x:c r="C138" s="21" t="str">
        <x:v>PREF02N001</x:v>
      </x:c>
      <x:c r="D138" s="21" t="str">
        <x:v>du_upt_dt</x:v>
      </x:c>
      <x:c r="E138" s="21" t="str">
        <x:v>AS_OF</x:v>
      </x:c>
      <x:c r="F138" s="21" t="str">
        <x:v>date</x:v>
      </x:c>
      <x:c r="G138" s="21" t="str">
        <x:v>YYYYMMDD</x:v>
      </x:c>
      <x:c r="H138" s="21" t="str">
        <x:v>eq|gt|gte|lt|lte|between</x:v>
      </x:c>
      <x:c r="I138" s="21" t="str">
        <x:v>ALLOWED</x:v>
      </x:c>
      <x:c r="J138" s="21" t="str">
        <x:v>ALLOWED</x:v>
      </x:c>
      <x:c r="K138" s="21" t="str">
        <x:v>MISSING_ON_PARTIAL</x:v>
      </x:c>
      <x:c r="L138" s="21" t="str">
        <x:v>NONE</x:v>
      </x:c>
      <x:c r="M138" s="21" t="str"/>
    </x:row>
    <x:row r="139">
      <x:c r="A139" s="21" t="str">
        <x:v>overseas_etp.trading_value_1d</x:v>
      </x:c>
      <x:c r="B139" s="21" t="str">
        <x:v>overseas_etp</x:v>
      </x:c>
      <x:c r="C139" s="21" t="str">
        <x:v>PREF02N001</x:v>
      </x:c>
      <x:c r="D139" s="21" t="str">
        <x:v>du_val_1d</x:v>
      </x:c>
      <x:c r="E139" s="21" t="str">
        <x:v>METRIC</x:v>
      </x:c>
      <x:c r="F139" s="21" t="str">
        <x:v>decimal</x:v>
      </x:c>
      <x:c r="G139" s="21" t="str">
        <x:v>TRADING_CURRENCY</x:v>
      </x:c>
      <x:c r="H139" s="21" t="str">
        <x:v>eq|gt|gte|lt|lte|between</x:v>
      </x:c>
      <x:c r="I139" s="21" t="str">
        <x:v>ALLOWED</x:v>
      </x:c>
      <x:c r="J139" s="21" t="str">
        <x:v>ALLOWED_WITH_DATE</x:v>
      </x:c>
      <x:c r="K139" s="21" t="str">
        <x:v>ZERO_VALID_PENDING</x:v>
      </x:c>
      <x:c r="L139" s="21" t="str">
        <x:v>du_upt_dt</x:v>
      </x:c>
      <x:c r="M139" s="21" t="str"/>
    </x:row>
    <x:row r="140">
      <x:c r="A140" s="21" t="str">
        <x:v>overseas_etp.volume_1d</x:v>
      </x:c>
      <x:c r="B140" s="21" t="str">
        <x:v>overseas_etp</x:v>
      </x:c>
      <x:c r="C140" s="21" t="str">
        <x:v>PREF02N001</x:v>
      </x:c>
      <x:c r="D140" s="21" t="str">
        <x:v>du_vol_1d</x:v>
      </x:c>
      <x:c r="E140" s="21" t="str">
        <x:v>METRIC</x:v>
      </x:c>
      <x:c r="F140" s="21" t="str">
        <x:v>decimal</x:v>
      </x:c>
      <x:c r="G140" s="21" t="str">
        <x:v>COUNT</x:v>
      </x:c>
      <x:c r="H140" s="21" t="str">
        <x:v>eq|gt|gte|lt|lte|between</x:v>
      </x:c>
      <x:c r="I140" s="21" t="str">
        <x:v>ALLOWED</x:v>
      </x:c>
      <x:c r="J140" s="21" t="str">
        <x:v>ALLOWED_WITH_DATE</x:v>
      </x:c>
      <x:c r="K140" s="21" t="str">
        <x:v>ZERO_VALID_PENDING</x:v>
      </x:c>
      <x:c r="L140" s="21" t="str">
        <x:v>du_upt_dt</x:v>
      </x:c>
      <x:c r="M140" s="21" t="str"/>
    </x:row>
    <x:row r="141">
      <x:c r="A141" s="21" t="str">
        <x:v>product.alias.short_name</x:v>
      </x:c>
      <x:c r="B141" s="21" t="str">
        <x:v>overseas_etp</x:v>
      </x:c>
      <x:c r="C141" s="21" t="str">
        <x:v>PREF02N001</x:v>
      </x:c>
      <x:c r="D141" s="21" t="str">
        <x:v>pd_abrv_nm</x:v>
      </x:c>
      <x:c r="E141" s="21" t="str">
        <x:v>ALIAS_NAME</x:v>
      </x:c>
      <x:c r="F141" s="21" t="str">
        <x:v>string</x:v>
      </x:c>
      <x:c r="G141" s="21" t="str">
        <x:v>TEXT</x:v>
      </x:c>
      <x:c r="H141" s="21" t="str">
        <x:v>eq|contains|starts_with</x:v>
      </x:c>
      <x:c r="I141" s="21" t="str">
        <x:v>ALLOWED</x:v>
      </x:c>
      <x:c r="J141" s="21" t="str">
        <x:v>ALLOWED</x:v>
      </x:c>
      <x:c r="K141" s="21" t="str">
        <x:v>AMBIGUITY_CHECK</x:v>
      </x:c>
      <x:c r="L141" s="21" t="str">
        <x:v>NONE</x:v>
      </x:c>
      <x:c r="M141" s="21" t="str"/>
    </x:row>
    <x:row r="142">
      <x:c r="A142" s="21" t="str">
        <x:v>product.currency</x:v>
      </x:c>
      <x:c r="B142" s="21" t="str">
        <x:v>overseas_etp</x:v>
      </x:c>
      <x:c r="C142" s="21" t="str">
        <x:v>PREF02N001</x:v>
      </x:c>
      <x:c r="D142" s="21" t="str">
        <x:v>pd_curr_cd</x:v>
      </x:c>
      <x:c r="E142" s="21" t="str">
        <x:v>DIMENSION</x:v>
      </x:c>
      <x:c r="F142" s="21" t="str">
        <x:v>string</x:v>
      </x:c>
      <x:c r="G142" s="21" t="str">
        <x:v>CURRENCY_CODE</x:v>
      </x:c>
      <x:c r="H142" s="21" t="str">
        <x:v>eq|in</x:v>
      </x:c>
      <x:c r="I142" s="21" t="str">
        <x:v>ALLOWED</x:v>
      </x:c>
      <x:c r="J142" s="21" t="str">
        <x:v>ALLOWED</x:v>
      </x:c>
      <x:c r="K142" s="21" t="str">
        <x:v>MISSING_ON_QUARANTINE</x:v>
      </x:c>
      <x:c r="L142" s="21" t="str">
        <x:v>NONE</x:v>
      </x:c>
      <x:c r="M142" s="21" t="str">
        <x:v>USD5637 and INR1</x:v>
      </x:c>
    </x:row>
    <x:row r="143">
      <x:c r="A143" s="21" t="str">
        <x:v>product.exchange_code</x:v>
      </x:c>
      <x:c r="B143" s="21" t="str">
        <x:v>overseas_etp</x:v>
      </x:c>
      <x:c r="C143" s="21" t="str">
        <x:v>PREF02N001</x:v>
      </x:c>
      <x:c r="D143" s="21" t="str">
        <x:v>pd_exg_mkt_cd</x:v>
      </x:c>
      <x:c r="E143" s="21" t="str">
        <x:v>DIMENSION</x:v>
      </x:c>
      <x:c r="F143" s="21" t="str">
        <x:v>string</x:v>
      </x:c>
      <x:c r="G143" s="21" t="str">
        <x:v>CODE</x:v>
      </x:c>
      <x:c r="H143" s="21" t="str">
        <x:v>eq|in</x:v>
      </x:c>
      <x:c r="I143" s="21" t="str">
        <x:v>ALLOWED</x:v>
      </x:c>
      <x:c r="J143" s="21" t="str">
        <x:v>ALLOWED</x:v>
      </x:c>
      <x:c r="K143" s="21" t="str">
        <x:v>VALID</x:v>
      </x:c>
      <x:c r="L143" s="21" t="str">
        <x:v>NONE</x:v>
      </x:c>
      <x:c r="M143" s="21" t="str"/>
    </x:row>
    <x:row r="144">
      <x:c r="A144" s="21" t="str">
        <x:v>product.internal_type</x:v>
      </x:c>
      <x:c r="B144" s="21" t="str">
        <x:v>overseas_etp</x:v>
      </x:c>
      <x:c r="C144" s="21" t="str">
        <x:v>PREF02N001</x:v>
      </x:c>
      <x:c r="D144" s="21" t="str">
        <x:v>pd_grp_no</x:v>
      </x:c>
      <x:c r="E144" s="21" t="str">
        <x:v>DIMENSION</x:v>
      </x:c>
      <x:c r="F144" s="21" t="str">
        <x:v>string</x:v>
      </x:c>
      <x:c r="G144" s="21" t="str">
        <x:v>CATEGORY</x:v>
      </x:c>
      <x:c r="H144" s="21" t="str">
        <x:v>eq|in</x:v>
      </x:c>
      <x:c r="I144" s="21" t="str">
        <x:v>ALLOWED</x:v>
      </x:c>
      <x:c r="J144" s="21" t="str">
        <x:v>ALLOWED</x:v>
      </x:c>
      <x:c r="K144" s="21" t="str">
        <x:v>VALID</x:v>
      </x:c>
      <x:c r="L144" s="21" t="str">
        <x:v>NONE</x:v>
      </x:c>
      <x:c r="M144" s="21" t="str">
        <x:v>primary ETF or ETN type</x:v>
      </x:c>
    </x:row>
    <x:row r="145">
      <x:c r="A145" s="21" t="str">
        <x:v>product.alias.isin</x:v>
      </x:c>
      <x:c r="B145" s="21" t="str">
        <x:v>overseas_etp</x:v>
      </x:c>
      <x:c r="C145" s="21" t="str">
        <x:v>PREF02N001</x:v>
      </x:c>
      <x:c r="D145" s="21" t="str">
        <x:v>pd_isin_cd</x:v>
      </x:c>
      <x:c r="E145" s="21" t="str">
        <x:v>ALIAS_ID</x:v>
      </x:c>
      <x:c r="F145" s="21" t="str">
        <x:v>string</x:v>
      </x:c>
      <x:c r="G145" s="21" t="str">
        <x:v>IDENTIFIER</x:v>
      </x:c>
      <x:c r="H145" s="21" t="str">
        <x:v>eq|in</x:v>
      </x:c>
      <x:c r="I145" s="21" t="str">
        <x:v>ALIAS_ONLY</x:v>
      </x:c>
      <x:c r="J145" s="21" t="str">
        <x:v>BLOCKED</x:v>
      </x:c>
      <x:c r="K145" s="21" t="str">
        <x:v>MISSING_AND_NONUNIQUE</x:v>
      </x:c>
      <x:c r="L145" s="21" t="str">
        <x:v>NONE</x:v>
      </x:c>
      <x:c r="M145" s="21" t="str">
        <x:v>not a PK</x:v>
      </x:c>
    </x:row>
    <x:row r="146">
      <x:c r="A146" s="21" t="str">
        <x:v>product.id</x:v>
      </x:c>
      <x:c r="B146" s="21" t="str">
        <x:v>overseas_etp</x:v>
      </x:c>
      <x:c r="C146" s="21" t="str">
        <x:v>PREF02N001</x:v>
      </x:c>
      <x:c r="D146" s="21" t="str">
        <x:v>pd_itm_no</x:v>
      </x:c>
      <x:c r="E146" s="21" t="str">
        <x:v>PRIMARY_ID</x:v>
      </x:c>
      <x:c r="F146" s="21" t="str">
        <x:v>string</x:v>
      </x:c>
      <x:c r="G146" s="21" t="str">
        <x:v>IDENTIFIER</x:v>
      </x:c>
      <x:c r="H146" s="21" t="str">
        <x:v>eq|in|starts_with</x:v>
      </x:c>
      <x:c r="I146" s="21" t="str">
        <x:v>ALLOWED</x:v>
      </x:c>
      <x:c r="J146" s="21" t="str">
        <x:v>ALLOWED</x:v>
      </x:c>
      <x:c r="K146" s="21" t="str">
        <x:v>REQUIRED_UNIQUE</x:v>
      </x:c>
      <x:c r="L146" s="21" t="str">
        <x:v>NONE</x:v>
      </x:c>
      <x:c r="M146" s="21" t="str"/>
    </x:row>
    <x:row r="147">
      <x:c r="A147" s="21" t="str">
        <x:v>product.alias.mirae_id</x:v>
      </x:c>
      <x:c r="B147" s="21" t="str">
        <x:v>overseas_etp</x:v>
      </x:c>
      <x:c r="C147" s="21" t="str">
        <x:v>PREF02N001</x:v>
      </x:c>
      <x:c r="D147" s="21" t="str">
        <x:v>pd_itm_no_ma</x:v>
      </x:c>
      <x:c r="E147" s="21" t="str">
        <x:v>ALIAS_ID</x:v>
      </x:c>
      <x:c r="F147" s="21" t="str">
        <x:v>string</x:v>
      </x:c>
      <x:c r="G147" s="21" t="str">
        <x:v>IDENTIFIER</x:v>
      </x:c>
      <x:c r="H147" s="21" t="str">
        <x:v>eq|in|starts_with</x:v>
      </x:c>
      <x:c r="I147" s="21" t="str">
        <x:v>ALLOWED</x:v>
      </x:c>
      <x:c r="J147" s="21" t="str">
        <x:v>ALLOWED</x:v>
      </x:c>
      <x:c r="K147" s="21" t="str">
        <x:v>REQUIRED_UNIQUE</x:v>
      </x:c>
      <x:c r="L147" s="21" t="str">
        <x:v>NONE</x:v>
      </x:c>
      <x:c r="M147" s="21" t="str"/>
    </x:row>
    <x:row r="148">
      <x:c r="A148" s="21" t="str">
        <x:v>product.alias.lipper_id</x:v>
      </x:c>
      <x:c r="B148" s="21" t="str">
        <x:v>overseas_etp</x:v>
      </x:c>
      <x:c r="C148" s="21" t="str">
        <x:v>PREF02N001</x:v>
      </x:c>
      <x:c r="D148" s="21" t="str">
        <x:v>pd_lipper_id</x:v>
      </x:c>
      <x:c r="E148" s="21" t="str">
        <x:v>ALIAS_ID</x:v>
      </x:c>
      <x:c r="F148" s="21" t="str">
        <x:v>string</x:v>
      </x:c>
      <x:c r="G148" s="21" t="str">
        <x:v>IDENTIFIER</x:v>
      </x:c>
      <x:c r="H148" s="21" t="str">
        <x:v>eq|in</x:v>
      </x:c>
      <x:c r="I148" s="21" t="str">
        <x:v>ALIAS_ONLY</x:v>
      </x:c>
      <x:c r="J148" s="21" t="str">
        <x:v>BLOCKED</x:v>
      </x:c>
      <x:c r="K148" s="21" t="str">
        <x:v>MISSING_ON_QUARANTINE</x:v>
      </x:c>
      <x:c r="L148" s="21" t="str">
        <x:v>NONE</x:v>
      </x:c>
      <x:c r="M148" s="21" t="str"/>
    </x:row>
    <x:row r="149">
      <x:c r="A149" s="21" t="str">
        <x:v>product.listing_date</x:v>
      </x:c>
      <x:c r="B149" s="21" t="str">
        <x:v>overseas_etp</x:v>
      </x:c>
      <x:c r="C149" s="21" t="str">
        <x:v>PREF02N001</x:v>
      </x:c>
      <x:c r="D149" s="21" t="str">
        <x:v>pd_lstg_dt</x:v>
      </x:c>
      <x:c r="E149" s="21" t="str">
        <x:v>DIMENSION</x:v>
      </x:c>
      <x:c r="F149" s="21" t="str">
        <x:v>date</x:v>
      </x:c>
      <x:c r="G149" s="21" t="str">
        <x:v>YYYYMMDD</x:v>
      </x:c>
      <x:c r="H149" s="21" t="str">
        <x:v>eq|gt|gte|lt|lte|between</x:v>
      </x:c>
      <x:c r="I149" s="21" t="str">
        <x:v>ALLOWED</x:v>
      </x:c>
      <x:c r="J149" s="21" t="str">
        <x:v>ALLOWED</x:v>
      </x:c>
      <x:c r="K149" s="21" t="str">
        <x:v>SENTINEL_00000000</x:v>
      </x:c>
      <x:c r="L149" s="21" t="str">
        <x:v>NONE</x:v>
      </x:c>
      <x:c r="M149" s="21" t="str"/>
    </x:row>
    <x:row r="150">
      <x:c r="A150" s="21" t="str">
        <x:v>overseas_etp.face_value</x:v>
      </x:c>
      <x:c r="B150" s="21" t="str">
        <x:v>overseas_etp</x:v>
      </x:c>
      <x:c r="C150" s="21" t="str">
        <x:v>PREF02N001</x:v>
      </x:c>
      <x:c r="D150" s="21" t="str">
        <x:v>pd_lst_price</x:v>
      </x:c>
      <x:c r="E150" s="21" t="str">
        <x:v>METRIC</x:v>
      </x:c>
      <x:c r="F150" s="21" t="str">
        <x:v>decimal</x:v>
      </x:c>
      <x:c r="G150" s="21" t="str">
        <x:v>PRODUCT_CURRENCY_PENDING</x:v>
      </x:c>
      <x:c r="H150" s="21" t="str">
        <x:v>eq|gt|gte|lt|lte|between</x:v>
      </x:c>
      <x:c r="I150" s="21" t="str">
        <x:v>BLOCKED_CONSTANT</x:v>
      </x:c>
      <x:c r="J150" s="21" t="str">
        <x:v>BLOCKED_CONSTANT</x:v>
      </x:c>
      <x:c r="K150" s="21" t="str">
        <x:v>UNUSABLE_NEAR_CONSTANT</x:v>
      </x:c>
      <x:c r="L150" s="21" t="str">
        <x:v>NONE</x:v>
      </x:c>
      <x:c r="M150" s="21" t="str">
        <x:v>5635 of 5636 present are zero</x:v>
      </x:c>
    </x:row>
    <x:row r="151">
      <x:c r="A151" s="21" t="str">
        <x:v>overseas_etp.listed_share_count</x:v>
      </x:c>
      <x:c r="B151" s="21" t="str">
        <x:v>overseas_etp</x:v>
      </x:c>
      <x:c r="C151" s="21" t="str">
        <x:v>PREF02N001</x:v>
      </x:c>
      <x:c r="D151" s="21" t="str">
        <x:v>pd_lst_stk_cnt</x:v>
      </x:c>
      <x:c r="E151" s="21" t="str">
        <x:v>METRIC</x:v>
      </x:c>
      <x:c r="F151" s="21" t="str">
        <x:v>decimal</x:v>
      </x:c>
      <x:c r="G151" s="21" t="str">
        <x:v>COUNT</x:v>
      </x:c>
      <x:c r="H151" s="21" t="str">
        <x:v>eq|gt|gte|lt|lte|between</x:v>
      </x:c>
      <x:c r="I151" s="21" t="str">
        <x:v>ALLOWED</x:v>
      </x:c>
      <x:c r="J151" s="21" t="str">
        <x:v>ALLOWED</x:v>
      </x:c>
      <x:c r="K151" s="21" t="str">
        <x:v>ZERO_UNKNOWN</x:v>
      </x:c>
      <x:c r="L151" s="21" t="str">
        <x:v>NONE</x:v>
      </x:c>
      <x:c r="M151" s="21" t="str"/>
    </x:row>
    <x:row r="152">
      <x:c r="A152" s="21" t="str">
        <x:v>product.market_code</x:v>
      </x:c>
      <x:c r="B152" s="21" t="str">
        <x:v>overseas_etp</x:v>
      </x:c>
      <x:c r="C152" s="21" t="str">
        <x:v>PREF02N001</x:v>
      </x:c>
      <x:c r="D152" s="21" t="str">
        <x:v>pd_mkt_id</x:v>
      </x:c>
      <x:c r="E152" s="21" t="str">
        <x:v>DIMENSION</x:v>
      </x:c>
      <x:c r="F152" s="21" t="str">
        <x:v>string</x:v>
      </x:c>
      <x:c r="G152" s="21" t="str">
        <x:v>CODE</x:v>
      </x:c>
      <x:c r="H152" s="21" t="str">
        <x:v>eq|in</x:v>
      </x:c>
      <x:c r="I152" s="21" t="str">
        <x:v>ALLOWED</x:v>
      </x:c>
      <x:c r="J152" s="21" t="str">
        <x:v>ALLOWED</x:v>
      </x:c>
      <x:c r="K152" s="21" t="str">
        <x:v>VALID</x:v>
      </x:c>
      <x:c r="L152" s="21" t="str">
        <x:v>NONE</x:v>
      </x:c>
      <x:c r="M152" s="21" t="str"/>
    </x:row>
    <x:row r="153">
      <x:c r="A153" s="21" t="str">
        <x:v>product.name</x:v>
      </x:c>
      <x:c r="B153" s="21" t="str">
        <x:v>overseas_etp</x:v>
      </x:c>
      <x:c r="C153" s="21" t="str">
        <x:v>PREF02N001</x:v>
      </x:c>
      <x:c r="D153" s="21" t="str">
        <x:v>pd_nm</x:v>
      </x:c>
      <x:c r="E153" s="21" t="str">
        <x:v>PRIMARY_NAME</x:v>
      </x:c>
      <x:c r="F153" s="21" t="str">
        <x:v>string</x:v>
      </x:c>
      <x:c r="G153" s="21" t="str">
        <x:v>TEXT</x:v>
      </x:c>
      <x:c r="H153" s="21" t="str">
        <x:v>eq|contains|starts_with</x:v>
      </x:c>
      <x:c r="I153" s="21" t="str">
        <x:v>ALLOWED</x:v>
      </x:c>
      <x:c r="J153" s="21" t="str">
        <x:v>ALLOWED</x:v>
      </x:c>
      <x:c r="K153" s="21" t="str">
        <x:v>AMBIGUITY_CHECK</x:v>
      </x:c>
      <x:c r="L153" s="21" t="str">
        <x:v>NONE</x:v>
      </x:c>
      <x:c r="M153" s="21" t="str"/>
    </x:row>
    <x:row r="154">
      <x:c r="A154" s="21" t="str">
        <x:v>product.sale_status</x:v>
      </x:c>
      <x:c r="B154" s="21" t="str">
        <x:v>overseas_etp</x:v>
      </x:c>
      <x:c r="C154" s="21" t="str">
        <x:v>PREF02N001</x:v>
      </x:c>
      <x:c r="D154" s="21" t="str">
        <x:v>pd_sale_yn</x:v>
      </x:c>
      <x:c r="E154" s="21" t="str">
        <x:v>STATUS</x:v>
      </x:c>
      <x:c r="F154" s="21" t="str">
        <x:v>string</x:v>
      </x:c>
      <x:c r="G154" s="21" t="str">
        <x:v>BOOLEAN_CODE</x:v>
      </x:c>
      <x:c r="H154" s="21" t="str">
        <x:v>eq|in</x:v>
      </x:c>
      <x:c r="I154" s="21" t="str">
        <x:v>ALLOWED</x:v>
      </x:c>
      <x:c r="J154" s="21" t="str">
        <x:v>ALLOWED</x:v>
      </x:c>
      <x:c r="K154" s="21" t="str">
        <x:v>MISSING_ON_PARTIAL</x:v>
      </x:c>
      <x:c r="L154" s="21" t="str">
        <x:v>NONE</x:v>
      </x:c>
      <x:c r="M154" s="21" t="str"/>
    </x:row>
    <x:row r="155">
      <x:c r="A155" s="21" t="str">
        <x:v>product.trading_currency</x:v>
      </x:c>
      <x:c r="B155" s="21" t="str">
        <x:v>overseas_etp</x:v>
      </x:c>
      <x:c r="C155" s="21" t="str">
        <x:v>PREF02N001</x:v>
      </x:c>
      <x:c r="D155" s="21" t="str">
        <x:v>pd_trd_ccy</x:v>
      </x:c>
      <x:c r="E155" s="21" t="str">
        <x:v>DIMENSION</x:v>
      </x:c>
      <x:c r="F155" s="21" t="str">
        <x:v>string</x:v>
      </x:c>
      <x:c r="G155" s="21" t="str">
        <x:v>CURRENCY_CODE</x:v>
      </x:c>
      <x:c r="H155" s="21" t="str">
        <x:v>eq|in</x:v>
      </x:c>
      <x:c r="I155" s="21" t="str">
        <x:v>ALLOWED</x:v>
      </x:c>
      <x:c r="J155" s="21" t="str">
        <x:v>ALLOWED</x:v>
      </x:c>
      <x:c r="K155" s="21" t="str">
        <x:v>VALID</x:v>
      </x:c>
      <x:c r="L155" s="21" t="str">
        <x:v>NONE</x:v>
      </x:c>
      <x:c r="M155" s="21" t="str">
        <x:v>all USD</x:v>
      </x:c>
    </x:row>
    <x:row r="156">
      <x:c r="A156" s="21" t="str">
        <x:v>product.trading_halt_status</x:v>
      </x:c>
      <x:c r="B156" s="21" t="str">
        <x:v>overseas_etp</x:v>
      </x:c>
      <x:c r="C156" s="21" t="str">
        <x:v>PREF02N001</x:v>
      </x:c>
      <x:c r="D156" s="21" t="str">
        <x:v>pd_tr_yn</x:v>
      </x:c>
      <x:c r="E156" s="21" t="str">
        <x:v>STATUS</x:v>
      </x:c>
      <x:c r="F156" s="21" t="str">
        <x:v>string</x:v>
      </x:c>
      <x:c r="G156" s="21" t="str">
        <x:v>BOOLEAN_CODE</x:v>
      </x:c>
      <x:c r="H156" s="21" t="str">
        <x:v>eq|in</x:v>
      </x:c>
      <x:c r="I156" s="21" t="str">
        <x:v>PENDING</x:v>
      </x:c>
      <x:c r="J156" s="21" t="str">
        <x:v>BLOCKED_PENDING_DIRECTION</x:v>
      </x:c>
      <x:c r="K156" s="21" t="str">
        <x:v>MISSING_ON_PARTIAL</x:v>
      </x:c>
      <x:c r="L156" s="21" t="str">
        <x:v>NONE</x:v>
      </x:c>
      <x:c r="M156" s="21" t="str"/>
    </x:row>
    <x:row r="157">
      <x:c r="A157" s="21" t="str">
        <x:v>product.alias.us_cik</x:v>
      </x:c>
      <x:c r="B157" s="21" t="str">
        <x:v>overseas_etp</x:v>
      </x:c>
      <x:c r="C157" s="21" t="str">
        <x:v>PREF02N001</x:v>
      </x:c>
      <x:c r="D157" s="21" t="str">
        <x:v>pd_us_cik</x:v>
      </x:c>
      <x:c r="E157" s="21" t="str">
        <x:v>ALIAS_ID</x:v>
      </x:c>
      <x:c r="F157" s="21" t="str">
        <x:v>string</x:v>
      </x:c>
      <x:c r="G157" s="21" t="str">
        <x:v>IDENTIFIER</x:v>
      </x:c>
      <x:c r="H157" s="21" t="str">
        <x:v>eq|in</x:v>
      </x:c>
      <x:c r="I157" s="21" t="str">
        <x:v>ALIAS_ONLY</x:v>
      </x:c>
      <x:c r="J157" s="21" t="str">
        <x:v>BLOCKED</x:v>
      </x:c>
      <x:c r="K157" s="21" t="str">
        <x:v>MISSING_ALLOWED</x:v>
      </x:c>
      <x:c r="L157" s="21" t="str">
        <x:v>NONE</x:v>
      </x:c>
      <x:c r="M157" s="21" t="str"/>
    </x:row>
    <x:row r="158">
      <x:c r="A158" s="21" t="str">
        <x:v>overseas_etp.reference_market_price</x:v>
      </x:c>
      <x:c r="B158" s="21" t="str">
        <x:v>overseas_etp</x:v>
      </x:c>
      <x:c r="C158" s="21" t="str">
        <x:v>PREF02N001</x:v>
      </x:c>
      <x:c r="D158" s="21" t="str">
        <x:v>ru_mkt_price</x:v>
      </x:c>
      <x:c r="E158" s="21" t="str">
        <x:v>METRIC</x:v>
      </x:c>
      <x:c r="F158" s="21" t="str">
        <x:v>decimal</x:v>
      </x:c>
      <x:c r="G158" s="21" t="str">
        <x:v>TRADING_CURRENCY</x:v>
      </x:c>
      <x:c r="H158" s="21" t="str">
        <x:v>eq|gt|gte|lt|lte|between</x:v>
      </x:c>
      <x:c r="I158" s="21" t="str">
        <x:v>ALLOWED</x:v>
      </x:c>
      <x:c r="J158" s="21" t="str">
        <x:v>ALLOWED_WITH_DATE</x:v>
      </x:c>
      <x:c r="K158" s="21" t="str">
        <x:v>MISSING_ON_PARTIAL</x:v>
      </x:c>
      <x:c r="L158" s="21" t="str">
        <x:v>du_upt_dt</x:v>
      </x:c>
      <x:c r="M158" s="21" t="str">
        <x:v>not guaranteed realtime</x:v>
      </x:c>
    </x:row>
    <x:row r="159">
      <x:c r="A159" s="21" t="str">
        <x:v>overseas_etp.reference_market_volume</x:v>
      </x:c>
      <x:c r="B159" s="21" t="str">
        <x:v>overseas_etp</x:v>
      </x:c>
      <x:c r="C159" s="21" t="str">
        <x:v>PREF02N001</x:v>
      </x:c>
      <x:c r="D159" s="21" t="str">
        <x:v>ru_mkt_volume</x:v>
      </x:c>
      <x:c r="E159" s="21" t="str">
        <x:v>METRIC</x:v>
      </x:c>
      <x:c r="F159" s="21" t="str">
        <x:v>decimal</x:v>
      </x:c>
      <x:c r="G159" s="21" t="str">
        <x:v>COUNT</x:v>
      </x:c>
      <x:c r="H159" s="21" t="str">
        <x:v>eq|gt|gte|lt|lte|between</x:v>
      </x:c>
      <x:c r="I159" s="21" t="str">
        <x:v>ALLOWED</x:v>
      </x:c>
      <x:c r="J159" s="21" t="str">
        <x:v>ALLOWED_WITH_DATE</x:v>
      </x:c>
      <x:c r="K159" s="21" t="str">
        <x:v>ZERO_VALID_PENDING</x:v>
      </x:c>
      <x:c r="L159" s="21" t="str">
        <x:v>du_upt_dt</x:v>
      </x:c>
      <x:c r="M159" s="21" t="str">
        <x:v>not guaranteed realtime</x:v>
      </x:c>
    </x:row>
    <x:row r="160">
      <x:c r="A160" s="21" t="str">
        <x:v>product.core_flag</x:v>
      </x:c>
      <x:c r="B160" s="21" t="str">
        <x:v>overseas_etp</x:v>
      </x:c>
      <x:c r="C160" s="21" t="str">
        <x:v>PREF02N001</x:v>
      </x:c>
      <x:c r="D160" s="21" t="str">
        <x:v>wu_core_yn</x:v>
      </x:c>
      <x:c r="E160" s="21" t="str">
        <x:v>DIMENSION</x:v>
      </x:c>
      <x:c r="F160" s="21" t="str">
        <x:v>string</x:v>
      </x:c>
      <x:c r="G160" s="21" t="str">
        <x:v>BOOLEAN_CODE</x:v>
      </x:c>
      <x:c r="H160" s="21" t="str">
        <x:v>eq|in</x:v>
      </x:c>
      <x:c r="I160" s="21" t="str">
        <x:v>ALLOWED</x:v>
      </x:c>
      <x:c r="J160" s="21" t="str">
        <x:v>BLOCKED_LOW_COVERAGE</x:v>
      </x:c>
      <x:c r="K160" s="21" t="str">
        <x:v>MISSING_ALLOWED</x:v>
      </x:c>
      <x:c r="L160" s="21" t="str">
        <x:v>wu_upt_dt</x:v>
      </x:c>
      <x:c r="M160" s="21" t="str"/>
    </x:row>
    <x:row r="161">
      <x:c r="A161" s="21" t="str">
        <x:v>product.asset_class</x:v>
      </x:c>
      <x:c r="B161" s="21" t="str">
        <x:v>overseas_etp</x:v>
      </x:c>
      <x:c r="C161" s="21" t="str">
        <x:v>PREF02N001</x:v>
      </x:c>
      <x:c r="D161" s="21" t="str">
        <x:v>wu_inv_ast_type</x:v>
      </x:c>
      <x:c r="E161" s="21" t="str">
        <x:v>DIMENSION</x:v>
      </x:c>
      <x:c r="F161" s="21" t="str">
        <x:v>string</x:v>
      </x:c>
      <x:c r="G161" s="21" t="str">
        <x:v>CATEGORY</x:v>
      </x:c>
      <x:c r="H161" s="21" t="str">
        <x:v>eq|in|contains</x:v>
      </x:c>
      <x:c r="I161" s="21" t="str">
        <x:v>ALLOWED</x:v>
      </x:c>
      <x:c r="J161" s="21" t="str">
        <x:v>ALLOWED</x:v>
      </x:c>
      <x:c r="K161" s="21" t="str">
        <x:v>MISSING_ON_QUARANTINE</x:v>
      </x:c>
      <x:c r="L161" s="21" t="str">
        <x:v>wu_upt_dt</x:v>
      </x:c>
      <x:c r="M161" s="21" t="str"/>
    </x:row>
    <x:row r="162">
      <x:c r="A162" s="21" t="str">
        <x:v>product.investment_region</x:v>
      </x:c>
      <x:c r="B162" s="21" t="str">
        <x:v>overseas_etp</x:v>
      </x:c>
      <x:c r="C162" s="21" t="str">
        <x:v>PREF02N001</x:v>
      </x:c>
      <x:c r="D162" s="21" t="str">
        <x:v>wu_inv_rgn</x:v>
      </x:c>
      <x:c r="E162" s="21" t="str">
        <x:v>DIMENSION</x:v>
      </x:c>
      <x:c r="F162" s="21" t="str">
        <x:v>string</x:v>
      </x:c>
      <x:c r="G162" s="21" t="str">
        <x:v>CATEGORY</x:v>
      </x:c>
      <x:c r="H162" s="21" t="str">
        <x:v>eq|in|contains</x:v>
      </x:c>
      <x:c r="I162" s="21" t="str">
        <x:v>ALLOWED</x:v>
      </x:c>
      <x:c r="J162" s="21" t="str">
        <x:v>ALLOWED</x:v>
      </x:c>
      <x:c r="K162" s="21" t="str">
        <x:v>MISSING_ON_QUARANTINE</x:v>
      </x:c>
      <x:c r="L162" s="21" t="str">
        <x:v>wu_upt_dt</x:v>
      </x:c>
      <x:c r="M162" s="21" t="str"/>
    </x:row>
    <x:row r="163">
      <x:c r="A163" s="21" t="str">
        <x:v>overseas_etp.weekly_as_of</x:v>
      </x:c>
      <x:c r="B163" s="21" t="str">
        <x:v>overseas_etp</x:v>
      </x:c>
      <x:c r="C163" s="21" t="str">
        <x:v>PREF02N001</x:v>
      </x:c>
      <x:c r="D163" s="21" t="str">
        <x:v>wu_upt_dt</x:v>
      </x:c>
      <x:c r="E163" s="21" t="str">
        <x:v>AS_OF</x:v>
      </x:c>
      <x:c r="F163" s="21" t="str">
        <x:v>date</x:v>
      </x:c>
      <x:c r="G163" s="21" t="str">
        <x:v>YYYYMMDD</x:v>
      </x:c>
      <x:c r="H163" s="21" t="str">
        <x:v>eq|gt|gte|lt|lte|between</x:v>
      </x:c>
      <x:c r="I163" s="21" t="str">
        <x:v>ALLOWED</x:v>
      </x:c>
      <x:c r="J163" s="21" t="str">
        <x:v>ALLOWED</x:v>
      </x:c>
      <x:c r="K163" s="21" t="str">
        <x:v>VALID</x:v>
      </x:c>
      <x:c r="L163" s="21" t="str">
        <x:v>NONE</x:v>
      </x:c>
      <x:c r="M163" s="21" t="str"/>
    </x:row>
    <x:row r="164">
      <x:c r="A164" s="21" t="str">
        <x:v>fund.benchmark_english</x:v>
      </x:c>
      <x:c r="B164" s="21" t="str">
        <x:v>fund</x:v>
      </x:c>
      <x:c r="C164" s="21" t="str">
        <x:v>PRFD01N001</x:v>
      </x:c>
      <x:c r="D164" s="21" t="str">
        <x:v>bmrk_eng_nm</x:v>
      </x:c>
      <x:c r="E164" s="21" t="str">
        <x:v>DIMENSION</x:v>
      </x:c>
      <x:c r="F164" s="21" t="str">
        <x:v>string</x:v>
      </x:c>
      <x:c r="G164" s="21" t="str">
        <x:v>TEXT</x:v>
      </x:c>
      <x:c r="H164" s="21" t="str">
        <x:v>eq|contains|starts_with</x:v>
      </x:c>
      <x:c r="I164" s="21" t="str">
        <x:v>ALLOWED</x:v>
      </x:c>
      <x:c r="J164" s="21" t="str">
        <x:v>ALLOWED</x:v>
      </x:c>
      <x:c r="K164" s="21" t="str">
        <x:v>PLACEHOLDER_REVIEW</x:v>
      </x:c>
      <x:c r="L164" s="21" t="str">
        <x:v>NONE</x:v>
      </x:c>
      <x:c r="M164" s="21" t="str"/>
    </x:row>
    <x:row r="165">
      <x:c r="A165" s="21" t="str">
        <x:v>fund.benchmark</x:v>
      </x:c>
      <x:c r="B165" s="21" t="str">
        <x:v>fund</x:v>
      </x:c>
      <x:c r="C165" s="21" t="str">
        <x:v>PRFD01N001</x:v>
      </x:c>
      <x:c r="D165" s="21" t="str">
        <x:v>bmrk_nm</x:v>
      </x:c>
      <x:c r="E165" s="21" t="str">
        <x:v>DIMENSION</x:v>
      </x:c>
      <x:c r="F165" s="21" t="str">
        <x:v>string</x:v>
      </x:c>
      <x:c r="G165" s="21" t="str">
        <x:v>TEXT</x:v>
      </x:c>
      <x:c r="H165" s="21" t="str">
        <x:v>eq|contains|starts_with</x:v>
      </x:c>
      <x:c r="I165" s="21" t="str">
        <x:v>ALLOWED</x:v>
      </x:c>
      <x:c r="J165" s="21" t="str">
        <x:v>ALLOWED</x:v>
      </x:c>
      <x:c r="K165" s="21" t="str">
        <x:v>PLACEHOLDER_REVIEW</x:v>
      </x:c>
      <x:c r="L165" s="21" t="str">
        <x:v>NONE</x:v>
      </x:c>
      <x:c r="M165" s="21" t="str"/>
    </x:row>
    <x:row r="166">
      <x:c r="A166" s="21" t="str">
        <x:v>product.currency</x:v>
      </x:c>
      <x:c r="B166" s="21" t="str">
        <x:v>fund</x:v>
      </x:c>
      <x:c r="C166" s="21" t="str">
        <x:v>PRFD01N001</x:v>
      </x:c>
      <x:c r="D166" s="21" t="str">
        <x:v>curr_cd</x:v>
      </x:c>
      <x:c r="E166" s="21" t="str">
        <x:v>DIMENSION</x:v>
      </x:c>
      <x:c r="F166" s="21" t="str">
        <x:v>string</x:v>
      </x:c>
      <x:c r="G166" s="21" t="str">
        <x:v>CURRENCY_CODE</x:v>
      </x:c>
      <x:c r="H166" s="21" t="str">
        <x:v>eq|in</x:v>
      </x:c>
      <x:c r="I166" s="21" t="str">
        <x:v>ALLOWED</x:v>
      </x:c>
      <x:c r="J166" s="21" t="str">
        <x:v>ALLOWED</x:v>
      </x:c>
      <x:c r="K166" s="21" t="str">
        <x:v>DAMAGED_ROW_FLAG</x:v>
      </x:c>
      <x:c r="L166" s="21" t="str">
        <x:v>NONE</x:v>
      </x:c>
      <x:c r="M166" s="21" t="str"/>
    </x:row>
    <x:row r="167">
      <x:c r="A167" s="21" t="str">
        <x:v>fund.currency_hedge_flag</x:v>
      </x:c>
      <x:c r="B167" s="21" t="str">
        <x:v>fund</x:v>
      </x:c>
      <x:c r="C167" s="21" t="str">
        <x:v>PRFD01N001</x:v>
      </x:c>
      <x:c r="D167" s="21" t="str">
        <x:v>exchdg_yn</x:v>
      </x:c>
      <x:c r="E167" s="21" t="str">
        <x:v>DIMENSION</x:v>
      </x:c>
      <x:c r="F167" s="21" t="str">
        <x:v>string</x:v>
      </x:c>
      <x:c r="G167" s="21" t="str">
        <x:v>BOOLEAN_CODE</x:v>
      </x:c>
      <x:c r="H167" s="21" t="str">
        <x:v>eq|in</x:v>
      </x:c>
      <x:c r="I167" s="21" t="str">
        <x:v>ALLOWED</x:v>
      </x:c>
      <x:c r="J167" s="21" t="str">
        <x:v>ALLOWED_WITH_COVERAGE</x:v>
      </x:c>
      <x:c r="K167" s="21" t="str">
        <x:v>MISSING_ALLOWED</x:v>
      </x:c>
      <x:c r="L167" s="21" t="str">
        <x:v>NONE</x:v>
      </x:c>
      <x:c r="M167" s="21" t="str">
        <x:v>68.88 percent raw coverage</x:v>
      </x:c>
    </x:row>
    <x:row r="168">
      <x:c r="A168" s="21" t="str">
        <x:v>fund.establishment_country_code</x:v>
      </x:c>
      <x:c r="B168" s="21" t="str">
        <x:v>fund</x:v>
      </x:c>
      <x:c r="C168" s="21" t="str">
        <x:v>PRFD01N001</x:v>
      </x:c>
      <x:c r="D168" s="21" t="str">
        <x:v>fd_estb_ctry_cd</x:v>
      </x:c>
      <x:c r="E168" s="21" t="str">
        <x:v>DIMENSION</x:v>
      </x:c>
      <x:c r="F168" s="21" t="str">
        <x:v>string</x:v>
      </x:c>
      <x:c r="G168" s="21" t="str">
        <x:v>COUNTRY_CODE_RAW</x:v>
      </x:c>
      <x:c r="H168" s="21" t="str">
        <x:v>eq|in</x:v>
      </x:c>
      <x:c r="I168" s="21" t="str">
        <x:v>PENDING</x:v>
      </x:c>
      <x:c r="J168" s="21" t="str">
        <x:v>BLOCKED_CODEBOOK_MISSING</x:v>
      </x:c>
      <x:c r="K168" s="21" t="str">
        <x:v>ZERO_UNKNOWN</x:v>
      </x:c>
      <x:c r="L168" s="21" t="str">
        <x:v>NONE</x:v>
      </x:c>
      <x:c r="M168" s="21" t="str">
        <x:v>preserve leading zeros</x:v>
      </x:c>
    </x:row>
    <x:row r="169">
      <x:c r="A169" s="21" t="str">
        <x:v>product.investment_region</x:v>
      </x:c>
      <x:c r="B169" s="21" t="str">
        <x:v>fund</x:v>
      </x:c>
      <x:c r="C169" s="21" t="str">
        <x:v>PRFD01N001</x:v>
      </x:c>
      <x:c r="D169" s="21" t="str">
        <x:v>fd_ivst_rgn_desc</x:v>
      </x:c>
      <x:c r="E169" s="21" t="str">
        <x:v>DIMENSION</x:v>
      </x:c>
      <x:c r="F169" s="21" t="str">
        <x:v>string</x:v>
      </x:c>
      <x:c r="G169" s="21" t="str">
        <x:v>CATEGORY</x:v>
      </x:c>
      <x:c r="H169" s="21" t="str">
        <x:v>eq|in|contains</x:v>
      </x:c>
      <x:c r="I169" s="21" t="str">
        <x:v>ALLOWED</x:v>
      </x:c>
      <x:c r="J169" s="21" t="str">
        <x:v>ALLOWED</x:v>
      </x:c>
      <x:c r="K169" s="21" t="str">
        <x:v>MISSING_ALLOWED</x:v>
      </x:c>
      <x:c r="L169" s="21" t="str">
        <x:v>NONE</x:v>
      </x:c>
      <x:c r="M169" s="21" t="str"/>
    </x:row>
    <x:row r="170">
      <x:c r="A170" s="21" t="str">
        <x:v>fund.return_18m</x:v>
      </x:c>
      <x:c r="B170" s="21" t="str">
        <x:v>fund</x:v>
      </x:c>
      <x:c r="C170" s="21" t="str">
        <x:v>PRFD01N001</x:v>
      </x:c>
      <x:c r="D170" s="21" t="str">
        <x:v>fd_mm18_ern_r</x:v>
      </x:c>
      <x:c r="E170" s="21" t="str">
        <x:v>METRIC</x:v>
      </x:c>
      <x:c r="F170" s="21" t="str">
        <x:v>decimal</x:v>
      </x:c>
      <x:c r="G170" s="21" t="str">
        <x:v>PERCENTAGE_POINT_PENDING</x:v>
      </x:c>
      <x:c r="H170" s="21" t="str">
        <x:v>eq|gt|gte|lt|lte|between</x:v>
      </x:c>
      <x:c r="I170" s="21" t="str">
        <x:v>ALLOWED</x:v>
      </x:c>
      <x:c r="J170" s="21" t="str">
        <x:v>ALLOWED_WITH_OUTLIER_REVIEW</x:v>
      </x:c>
      <x:c r="K170" s="21" t="str">
        <x:v>SUSPECT_OUTLIER</x:v>
      </x:c>
      <x:c r="L170" s="21" t="str">
        <x:v>NONE</x:v>
      </x:c>
      <x:c r="M170" s="21" t="str">
        <x:v>product-level dedupe required</x:v>
      </x:c>
    </x:row>
    <x:row r="171">
      <x:c r="A171" s="21" t="str">
        <x:v>fund.return_1m</x:v>
      </x:c>
      <x:c r="B171" s="21" t="str">
        <x:v>fund</x:v>
      </x:c>
      <x:c r="C171" s="21" t="str">
        <x:v>PRFD01N001</x:v>
      </x:c>
      <x:c r="D171" s="21" t="str">
        <x:v>fd_mm1_ern_r</x:v>
      </x:c>
      <x:c r="E171" s="21" t="str">
        <x:v>METRIC</x:v>
      </x:c>
      <x:c r="F171" s="21" t="str">
        <x:v>decimal</x:v>
      </x:c>
      <x:c r="G171" s="21" t="str">
        <x:v>PERCENTAGE_POINT_PENDING</x:v>
      </x:c>
      <x:c r="H171" s="21" t="str">
        <x:v>eq|gt|gte|lt|lte|between</x:v>
      </x:c>
      <x:c r="I171" s="21" t="str">
        <x:v>ALLOWED</x:v>
      </x:c>
      <x:c r="J171" s="21" t="str">
        <x:v>ALLOWED_WITH_COVERAGE</x:v>
      </x:c>
      <x:c r="K171" s="21" t="str">
        <x:v>ZERO_VALID_PENDING</x:v>
      </x:c>
      <x:c r="L171" s="21" t="str">
        <x:v>NONE</x:v>
      </x:c>
      <x:c r="M171" s="21" t="str">
        <x:v>product-level dedupe required</x:v>
      </x:c>
    </x:row>
    <x:row r="172">
      <x:c r="A172" s="21" t="str">
        <x:v>fund.return_3m</x:v>
      </x:c>
      <x:c r="B172" s="21" t="str">
        <x:v>fund</x:v>
      </x:c>
      <x:c r="C172" s="21" t="str">
        <x:v>PRFD01N001</x:v>
      </x:c>
      <x:c r="D172" s="21" t="str">
        <x:v>fd_mm3_ern_r</x:v>
      </x:c>
      <x:c r="E172" s="21" t="str">
        <x:v>METRIC</x:v>
      </x:c>
      <x:c r="F172" s="21" t="str">
        <x:v>decimal</x:v>
      </x:c>
      <x:c r="G172" s="21" t="str">
        <x:v>PERCENTAGE_POINT_PENDING</x:v>
      </x:c>
      <x:c r="H172" s="21" t="str">
        <x:v>eq|gt|gte|lt|lte|between</x:v>
      </x:c>
      <x:c r="I172" s="21" t="str">
        <x:v>ALLOWED</x:v>
      </x:c>
      <x:c r="J172" s="21" t="str">
        <x:v>ALLOWED_WITH_COVERAGE</x:v>
      </x:c>
      <x:c r="K172" s="21" t="str">
        <x:v>ZERO_VALID_PENDING</x:v>
      </x:c>
      <x:c r="L172" s="21" t="str">
        <x:v>NONE</x:v>
      </x:c>
      <x:c r="M172" s="21" t="str">
        <x:v>product-level dedupe required</x:v>
      </x:c>
    </x:row>
    <x:row r="173">
      <x:c r="A173" s="21" t="str">
        <x:v>fund.return_6m</x:v>
      </x:c>
      <x:c r="B173" s="21" t="str">
        <x:v>fund</x:v>
      </x:c>
      <x:c r="C173" s="21" t="str">
        <x:v>PRFD01N001</x:v>
      </x:c>
      <x:c r="D173" s="21" t="str">
        <x:v>fd_mm6_ern_r</x:v>
      </x:c>
      <x:c r="E173" s="21" t="str">
        <x:v>METRIC</x:v>
      </x:c>
      <x:c r="F173" s="21" t="str">
        <x:v>decimal</x:v>
      </x:c>
      <x:c r="G173" s="21" t="str">
        <x:v>PERCENTAGE_POINT_PENDING</x:v>
      </x:c>
      <x:c r="H173" s="21" t="str">
        <x:v>eq|gt|gte|lt|lte|between</x:v>
      </x:c>
      <x:c r="I173" s="21" t="str">
        <x:v>ALLOWED</x:v>
      </x:c>
      <x:c r="J173" s="21" t="str">
        <x:v>ALLOWED_WITH_COVERAGE</x:v>
      </x:c>
      <x:c r="K173" s="21" t="str">
        <x:v>ZERO_VALID_PENDING</x:v>
      </x:c>
      <x:c r="L173" s="21" t="str">
        <x:v>NONE</x:v>
      </x:c>
      <x:c r="M173" s="21" t="str">
        <x:v>product-level dedupe required</x:v>
      </x:c>
    </x:row>
    <x:row r="174">
      <x:c r="A174" s="21" t="str">
        <x:v>fund.net_assets</x:v>
      </x:c>
      <x:c r="B174" s="21" t="str">
        <x:v>fund</x:v>
      </x:c>
      <x:c r="C174" s="21" t="str">
        <x:v>PRFD01N001</x:v>
      </x:c>
      <x:c r="D174" s="21" t="str">
        <x:v>fd_nast_suma</x:v>
      </x:c>
      <x:c r="E174" s="21" t="str">
        <x:v>METRIC</x:v>
      </x:c>
      <x:c r="F174" s="21" t="str">
        <x:v>decimal</x:v>
      </x:c>
      <x:c r="G174" s="21" t="str">
        <x:v>KRW_PENDING</x:v>
      </x:c>
      <x:c r="H174" s="21" t="str">
        <x:v>eq|gt|gte|lt|lte|between</x:v>
      </x:c>
      <x:c r="I174" s="21" t="str">
        <x:v>ALLOWED</x:v>
      </x:c>
      <x:c r="J174" s="21" t="str">
        <x:v>ALLOWED_WITH_COVERAGE</x:v>
      </x:c>
      <x:c r="K174" s="21" t="str">
        <x:v>ZERO_UNKNOWN</x:v>
      </x:c>
      <x:c r="L174" s="21" t="str">
        <x:v>NONE</x:v>
      </x:c>
      <x:c r="M174" s="21" t="str">
        <x:v>product-level dedupe required</x:v>
      </x:c>
    </x:row>
    <x:row r="175">
      <x:c r="A175" s="21" t="str">
        <x:v>fund.setup_type_code</x:v>
      </x:c>
      <x:c r="B175" s="21" t="str">
        <x:v>fund</x:v>
      </x:c>
      <x:c r="C175" s="21" t="str">
        <x:v>PRFD01N001</x:v>
      </x:c>
      <x:c r="D175" s="21" t="str">
        <x:v>fd_set_pcd</x:v>
      </x:c>
      <x:c r="E175" s="21" t="str">
        <x:v>DIMENSION</x:v>
      </x:c>
      <x:c r="F175" s="21" t="str">
        <x:v>string</x:v>
      </x:c>
      <x:c r="G175" s="21" t="str">
        <x:v>CODE</x:v>
      </x:c>
      <x:c r="H175" s="21" t="str">
        <x:v>eq|in</x:v>
      </x:c>
      <x:c r="I175" s="21" t="str">
        <x:v>PENDING</x:v>
      </x:c>
      <x:c r="J175" s="21" t="str">
        <x:v>BLOCKED_CODEBOOK_MISSING</x:v>
      </x:c>
      <x:c r="K175" s="21" t="str">
        <x:v>ZERO_UNKNOWN</x:v>
      </x:c>
      <x:c r="L175" s="21" t="str">
        <x:v>NONE</x:v>
      </x:c>
      <x:c r="M175" s="21" t="str"/>
    </x:row>
    <x:row r="176">
      <x:c r="A176" s="21" t="str">
        <x:v>fund.return_1w</x:v>
      </x:c>
      <x:c r="B176" s="21" t="str">
        <x:v>fund</x:v>
      </x:c>
      <x:c r="C176" s="21" t="str">
        <x:v>PRFD01N001</x:v>
      </x:c>
      <x:c r="D176" s="21" t="str">
        <x:v>fd_wk1_ern_r</x:v>
      </x:c>
      <x:c r="E176" s="21" t="str">
        <x:v>METRIC</x:v>
      </x:c>
      <x:c r="F176" s="21" t="str">
        <x:v>decimal</x:v>
      </x:c>
      <x:c r="G176" s="21" t="str">
        <x:v>PERCENTAGE_POINT_PENDING</x:v>
      </x:c>
      <x:c r="H176" s="21" t="str">
        <x:v>eq|gt|gte|lt|lte|between</x:v>
      </x:c>
      <x:c r="I176" s="21" t="str">
        <x:v>ALLOWED</x:v>
      </x:c>
      <x:c r="J176" s="21" t="str">
        <x:v>ALLOWED_WITH_COVERAGE</x:v>
      </x:c>
      <x:c r="K176" s="21" t="str">
        <x:v>ZERO_VALID_PENDING</x:v>
      </x:c>
      <x:c r="L176" s="21" t="str">
        <x:v>NONE</x:v>
      </x:c>
      <x:c r="M176" s="21" t="str">
        <x:v>product-level dedupe required</x:v>
      </x:c>
    </x:row>
    <x:row r="177">
      <x:c r="A177" s="21" t="str">
        <x:v>fund.return_1y</x:v>
      </x:c>
      <x:c r="B177" s="21" t="str">
        <x:v>fund</x:v>
      </x:c>
      <x:c r="C177" s="21" t="str">
        <x:v>PRFD01N001</x:v>
      </x:c>
      <x:c r="D177" s="21" t="str">
        <x:v>fd_yr1_ern_r</x:v>
      </x:c>
      <x:c r="E177" s="21" t="str">
        <x:v>METRIC</x:v>
      </x:c>
      <x:c r="F177" s="21" t="str">
        <x:v>decimal</x:v>
      </x:c>
      <x:c r="G177" s="21" t="str">
        <x:v>PERCENTAGE_POINT_PENDING</x:v>
      </x:c>
      <x:c r="H177" s="21" t="str">
        <x:v>eq|gt|gte|lt|lte|between</x:v>
      </x:c>
      <x:c r="I177" s="21" t="str">
        <x:v>ALLOWED</x:v>
      </x:c>
      <x:c r="J177" s="21" t="str">
        <x:v>ALLOWED_WITH_OUTLIER_REVIEW</x:v>
      </x:c>
      <x:c r="K177" s="21" t="str">
        <x:v>SUSPECT_OUTLIER</x:v>
      </x:c>
      <x:c r="L177" s="21" t="str">
        <x:v>NONE</x:v>
      </x:c>
      <x:c r="M177" s="21" t="str">
        <x:v>intra-scope only</x:v>
      </x:c>
    </x:row>
    <x:row r="178">
      <x:c r="A178" s="21" t="str">
        <x:v>fund.return_2y</x:v>
      </x:c>
      <x:c r="B178" s="21" t="str">
        <x:v>fund</x:v>
      </x:c>
      <x:c r="C178" s="21" t="str">
        <x:v>PRFD01N001</x:v>
      </x:c>
      <x:c r="D178" s="21" t="str">
        <x:v>fd_yr2_ern_r</x:v>
      </x:c>
      <x:c r="E178" s="21" t="str">
        <x:v>METRIC</x:v>
      </x:c>
      <x:c r="F178" s="21" t="str">
        <x:v>decimal</x:v>
      </x:c>
      <x:c r="G178" s="21" t="str">
        <x:v>PERCENTAGE_POINT_PENDING</x:v>
      </x:c>
      <x:c r="H178" s="21" t="str">
        <x:v>eq|gt|gte|lt|lte|between</x:v>
      </x:c>
      <x:c r="I178" s="21" t="str">
        <x:v>ALLOWED</x:v>
      </x:c>
      <x:c r="J178" s="21" t="str">
        <x:v>ALLOWED_WITH_OUTLIER_REVIEW</x:v>
      </x:c>
      <x:c r="K178" s="21" t="str">
        <x:v>SUSPECT_OUTLIER</x:v>
      </x:c>
      <x:c r="L178" s="21" t="str">
        <x:v>NONE</x:v>
      </x:c>
      <x:c r="M178" s="21" t="str"/>
    </x:row>
    <x:row r="179">
      <x:c r="A179" s="21" t="str">
        <x:v>fund.return_3y</x:v>
      </x:c>
      <x:c r="B179" s="21" t="str">
        <x:v>fund</x:v>
      </x:c>
      <x:c r="C179" s="21" t="str">
        <x:v>PRFD01N001</x:v>
      </x:c>
      <x:c r="D179" s="21" t="str">
        <x:v>fd_yr3_ern_r</x:v>
      </x:c>
      <x:c r="E179" s="21" t="str">
        <x:v>METRIC</x:v>
      </x:c>
      <x:c r="F179" s="21" t="str">
        <x:v>decimal</x:v>
      </x:c>
      <x:c r="G179" s="21" t="str">
        <x:v>PERCENTAGE_POINT_PENDING</x:v>
      </x:c>
      <x:c r="H179" s="21" t="str">
        <x:v>eq|gt|gte|lt|lte|between</x:v>
      </x:c>
      <x:c r="I179" s="21" t="str">
        <x:v>ALLOWED</x:v>
      </x:c>
      <x:c r="J179" s="21" t="str">
        <x:v>ALLOWED_WITH_OUTLIER_REVIEW</x:v>
      </x:c>
      <x:c r="K179" s="21" t="str">
        <x:v>SUSPECT_OUTLIER</x:v>
      </x:c>
      <x:c r="L179" s="21" t="str">
        <x:v>NONE</x:v>
      </x:c>
      <x:c r="M179" s="21" t="str"/>
    </x:row>
    <x:row r="180">
      <x:c r="A180" s="21" t="str">
        <x:v>fund.return_5y</x:v>
      </x:c>
      <x:c r="B180" s="21" t="str">
        <x:v>fund</x:v>
      </x:c>
      <x:c r="C180" s="21" t="str">
        <x:v>PRFD01N001</x:v>
      </x:c>
      <x:c r="D180" s="21" t="str">
        <x:v>fd_yr5_ern_r</x:v>
      </x:c>
      <x:c r="E180" s="21" t="str">
        <x:v>METRIC</x:v>
      </x:c>
      <x:c r="F180" s="21" t="str">
        <x:v>decimal</x:v>
      </x:c>
      <x:c r="G180" s="21" t="str">
        <x:v>PERCENTAGE_POINT_PENDING</x:v>
      </x:c>
      <x:c r="H180" s="21" t="str">
        <x:v>eq|gt|gte|lt|lte|between</x:v>
      </x:c>
      <x:c r="I180" s="21" t="str">
        <x:v>ALLOWED</x:v>
      </x:c>
      <x:c r="J180" s="21" t="str">
        <x:v>ALLOWED_WITH_OUTLIER_REVIEW</x:v>
      </x:c>
      <x:c r="K180" s="21" t="str">
        <x:v>SUSPECT_OUTLIER</x:v>
      </x:c>
      <x:c r="L180" s="21" t="str">
        <x:v>NONE</x:v>
      </x:c>
      <x:c r="M180" s="21" t="str"/>
    </x:row>
    <x:row r="181">
      <x:c r="A181" s="21" t="str">
        <x:v>fund.foreign_base_price_flag</x:v>
      </x:c>
      <x:c r="B181" s="21" t="str">
        <x:v>fund</x:v>
      </x:c>
      <x:c r="C181" s="21" t="str">
        <x:v>PRFD01N001</x:v>
      </x:c>
      <x:c r="D181" s="21" t="str">
        <x:v>frc_bpr_itm_yn</x:v>
      </x:c>
      <x:c r="E181" s="21" t="str">
        <x:v>DIMENSION</x:v>
      </x:c>
      <x:c r="F181" s="21" t="str">
        <x:v>string</x:v>
      </x:c>
      <x:c r="G181" s="21" t="str">
        <x:v>BOOLEAN_CODE</x:v>
      </x:c>
      <x:c r="H181" s="21" t="str">
        <x:v>eq|in</x:v>
      </x:c>
      <x:c r="I181" s="21" t="str">
        <x:v>ALLOWED</x:v>
      </x:c>
      <x:c r="J181" s="21" t="str">
        <x:v>ALLOWED</x:v>
      </x:c>
      <x:c r="K181" s="21" t="str">
        <x:v>VALID</x:v>
      </x:c>
      <x:c r="L181" s="21" t="str">
        <x:v>NONE</x:v>
      </x:c>
      <x:c r="M181" s="21" t="str"/>
    </x:row>
    <x:row r="182">
      <x:c r="A182" s="21" t="str">
        <x:v>product.alias.fss_id</x:v>
      </x:c>
      <x:c r="B182" s="21" t="str">
        <x:v>fund</x:v>
      </x:c>
      <x:c r="C182" s="21" t="str">
        <x:v>PRFD01N001</x:v>
      </x:c>
      <x:c r="D182" s="21" t="str">
        <x:v>fss_itm_no</x:v>
      </x:c>
      <x:c r="E182" s="21" t="str">
        <x:v>ALIAS_ID</x:v>
      </x:c>
      <x:c r="F182" s="21" t="str">
        <x:v>string</x:v>
      </x:c>
      <x:c r="G182" s="21" t="str">
        <x:v>IDENTIFIER</x:v>
      </x:c>
      <x:c r="H182" s="21" t="str">
        <x:v>eq|in</x:v>
      </x:c>
      <x:c r="I182" s="21" t="str">
        <x:v>ALIAS_ONLY</x:v>
      </x:c>
      <x:c r="J182" s="21" t="str">
        <x:v>BLOCKED</x:v>
      </x:c>
      <x:c r="K182" s="21" t="str">
        <x:v>PLACEHOLDER_ZERO</x:v>
      </x:c>
      <x:c r="L182" s="21" t="str">
        <x:v>NONE</x:v>
      </x:c>
      <x:c r="M182" s="21" t="str"/>
    </x:row>
    <x:row r="183">
      <x:c r="A183" s="21" t="str">
        <x:v>fund.hedge_fund_flag</x:v>
      </x:c>
      <x:c r="B183" s="21" t="str">
        <x:v>fund</x:v>
      </x:c>
      <x:c r="C183" s="21" t="str">
        <x:v>PRFD01N001</x:v>
      </x:c>
      <x:c r="D183" s="21" t="str">
        <x:v>hdge_fd_yn</x:v>
      </x:c>
      <x:c r="E183" s="21" t="str">
        <x:v>DIMENSION</x:v>
      </x:c>
      <x:c r="F183" s="21" t="str">
        <x:v>string</x:v>
      </x:c>
      <x:c r="G183" s="21" t="str">
        <x:v>BOOLEAN_CODE</x:v>
      </x:c>
      <x:c r="H183" s="21" t="str">
        <x:v>eq|in</x:v>
      </x:c>
      <x:c r="I183" s="21" t="str">
        <x:v>BLOCKED_CONSTANT</x:v>
      </x:c>
      <x:c r="J183" s="21" t="str">
        <x:v>BLOCKED_CONSTANT</x:v>
      </x:c>
      <x:c r="K183" s="21" t="str">
        <x:v>UNUSABLE_CONSTANT</x:v>
      </x:c>
      <x:c r="L183" s="21" t="str">
        <x:v>NONE</x:v>
      </x:c>
      <x:c r="M183" s="21" t="str">
        <x:v>normal rows all zero</x:v>
      </x:c>
    </x:row>
    <x:row r="184">
      <x:c r="A184" s="21" t="str">
        <x:v>fund.interest_dividend_class</x:v>
      </x:c>
      <x:c r="B184" s="21" t="str">
        <x:v>fund</x:v>
      </x:c>
      <x:c r="C184" s="21" t="str">
        <x:v>PRFD01N001</x:v>
      </x:c>
      <x:c r="D184" s="21" t="str">
        <x:v>int_dvd_desc</x:v>
      </x:c>
      <x:c r="E184" s="21" t="str">
        <x:v>DIMENSION</x:v>
      </x:c>
      <x:c r="F184" s="21" t="str">
        <x:v>string</x:v>
      </x:c>
      <x:c r="G184" s="21" t="str">
        <x:v>CATEGORY</x:v>
      </x:c>
      <x:c r="H184" s="21" t="str">
        <x:v>eq|in</x:v>
      </x:c>
      <x:c r="I184" s="21" t="str">
        <x:v>ALLOWED</x:v>
      </x:c>
      <x:c r="J184" s="21" t="str">
        <x:v>ALLOWED</x:v>
      </x:c>
      <x:c r="K184" s="21" t="str">
        <x:v>MISSING_ALLOWED</x:v>
      </x:c>
      <x:c r="L184" s="21" t="str">
        <x:v>NONE</x:v>
      </x:c>
      <x:c r="M184" s="21" t="str"/>
    </x:row>
    <x:row r="185">
      <x:c r="A185" s="21" t="str">
        <x:v>product.alias.short_name</x:v>
      </x:c>
      <x:c r="B185" s="21" t="str">
        <x:v>fund</x:v>
      </x:c>
      <x:c r="C185" s="21" t="str">
        <x:v>PRFD01N001</x:v>
      </x:c>
      <x:c r="D185" s="21" t="str">
        <x:v>itm_abrv_nm</x:v>
      </x:c>
      <x:c r="E185" s="21" t="str">
        <x:v>ALIAS_NAME</x:v>
      </x:c>
      <x:c r="F185" s="21" t="str">
        <x:v>string</x:v>
      </x:c>
      <x:c r="G185" s="21" t="str">
        <x:v>TEXT</x:v>
      </x:c>
      <x:c r="H185" s="21" t="str">
        <x:v>eq|contains|starts_with</x:v>
      </x:c>
      <x:c r="I185" s="21" t="str">
        <x:v>ALLOWED</x:v>
      </x:c>
      <x:c r="J185" s="21" t="str">
        <x:v>ALLOWED</x:v>
      </x:c>
      <x:c r="K185" s="21" t="str">
        <x:v>AMBIGUITY_CHECK</x:v>
      </x:c>
      <x:c r="L185" s="21" t="str">
        <x:v>NONE</x:v>
      </x:c>
      <x:c r="M185" s="21" t="str"/>
    </x:row>
    <x:row r="186">
      <x:c r="A186" s="21" t="str">
        <x:v>product.alias.english_short_name</x:v>
      </x:c>
      <x:c r="B186" s="21" t="str">
        <x:v>fund</x:v>
      </x:c>
      <x:c r="C186" s="21" t="str">
        <x:v>PRFD01N001</x:v>
      </x:c>
      <x:c r="D186" s="21" t="str">
        <x:v>itm_eabrv_nm</x:v>
      </x:c>
      <x:c r="E186" s="21" t="str">
        <x:v>ALIAS_NAME</x:v>
      </x:c>
      <x:c r="F186" s="21" t="str">
        <x:v>string</x:v>
      </x:c>
      <x:c r="G186" s="21" t="str">
        <x:v>TEXT</x:v>
      </x:c>
      <x:c r="H186" s="21" t="str">
        <x:v>eq|contains|starts_with</x:v>
      </x:c>
      <x:c r="I186" s="21" t="str">
        <x:v>ALLOWED</x:v>
      </x:c>
      <x:c r="J186" s="21" t="str">
        <x:v>BLOCKED_LOW_COVERAGE</x:v>
      </x:c>
      <x:c r="K186" s="21" t="str">
        <x:v>MISSING_ALLOWED</x:v>
      </x:c>
      <x:c r="L186" s="21" t="str">
        <x:v>NONE</x:v>
      </x:c>
      <x:c r="M186" s="21" t="str"/>
    </x:row>
    <x:row r="187">
      <x:c r="A187" s="21" t="str">
        <x:v>product.alias.english_name</x:v>
      </x:c>
      <x:c r="B187" s="21" t="str">
        <x:v>fund</x:v>
      </x:c>
      <x:c r="C187" s="21" t="str">
        <x:v>PRFD01N001</x:v>
      </x:c>
      <x:c r="D187" s="21" t="str">
        <x:v>itm_eng_nm</x:v>
      </x:c>
      <x:c r="E187" s="21" t="str">
        <x:v>ALIAS_NAME</x:v>
      </x:c>
      <x:c r="F187" s="21" t="str">
        <x:v>string</x:v>
      </x:c>
      <x:c r="G187" s="21" t="str">
        <x:v>TEXT</x:v>
      </x:c>
      <x:c r="H187" s="21" t="str">
        <x:v>eq|contains|starts_with</x:v>
      </x:c>
      <x:c r="I187" s="21" t="str">
        <x:v>ALLOWED</x:v>
      </x:c>
      <x:c r="J187" s="21" t="str">
        <x:v>ALLOWED</x:v>
      </x:c>
      <x:c r="K187" s="21" t="str">
        <x:v>PLACEHOLDER_ZERO</x:v>
      </x:c>
      <x:c r="L187" s="21" t="str">
        <x:v>NONE</x:v>
      </x:c>
      <x:c r="M187" s="21" t="str"/>
    </x:row>
    <x:row r="188">
      <x:c r="A188" s="21" t="str">
        <x:v>product.name</x:v>
      </x:c>
      <x:c r="B188" s="21" t="str">
        <x:v>fund</x:v>
      </x:c>
      <x:c r="C188" s="21" t="str">
        <x:v>PRFD01N001</x:v>
      </x:c>
      <x:c r="D188" s="21" t="str">
        <x:v>itm_nm</x:v>
      </x:c>
      <x:c r="E188" s="21" t="str">
        <x:v>PRIMARY_NAME</x:v>
      </x:c>
      <x:c r="F188" s="21" t="str">
        <x:v>string</x:v>
      </x:c>
      <x:c r="G188" s="21" t="str">
        <x:v>TEXT</x:v>
      </x:c>
      <x:c r="H188" s="21" t="str">
        <x:v>eq|contains|starts_with</x:v>
      </x:c>
      <x:c r="I188" s="21" t="str">
        <x:v>ALLOWED</x:v>
      </x:c>
      <x:c r="J188" s="21" t="str">
        <x:v>ALLOWED</x:v>
      </x:c>
      <x:c r="K188" s="21" t="str">
        <x:v>AMBIGUITY_CHECK</x:v>
      </x:c>
      <x:c r="L188" s="21" t="str">
        <x:v>NONE</x:v>
      </x:c>
      <x:c r="M188" s="21" t="str"/>
    </x:row>
    <x:row r="189">
      <x:c r="A189" s="21" t="str">
        <x:v>product.id</x:v>
      </x:c>
      <x:c r="B189" s="21" t="str">
        <x:v>fund</x:v>
      </x:c>
      <x:c r="C189" s="21" t="str">
        <x:v>PRFD01N001</x:v>
      </x:c>
      <x:c r="D189" s="21" t="str">
        <x:v>itm_no</x:v>
      </x:c>
      <x:c r="E189" s="21" t="str">
        <x:v>PRIMARY_ID</x:v>
      </x:c>
      <x:c r="F189" s="21" t="str">
        <x:v>string</x:v>
      </x:c>
      <x:c r="G189" s="21" t="str">
        <x:v>IDENTIFIER</x:v>
      </x:c>
      <x:c r="H189" s="21" t="str">
        <x:v>eq|in|starts_with</x:v>
      </x:c>
      <x:c r="I189" s="21" t="str">
        <x:v>ALLOWED</x:v>
      </x:c>
      <x:c r="J189" s="21" t="str">
        <x:v>ALLOWED</x:v>
      </x:c>
      <x:c r="K189" s="21" t="str">
        <x:v>REQUIRED_NORMAL_12</x:v>
      </x:c>
      <x:c r="L189" s="21" t="str">
        <x:v>NONE</x:v>
      </x:c>
      <x:c r="M189" s="21" t="str">
        <x:v>damaged quote ID quarantined</x:v>
      </x:c>
    </x:row>
    <x:row r="190">
      <x:c r="A190" s="21" t="str">
        <x:v>fund.kofia_classification_code</x:v>
      </x:c>
      <x:c r="B190" s="21" t="str">
        <x:v>fund</x:v>
      </x:c>
      <x:c r="C190" s="21" t="str">
        <x:v>PRFD01N001</x:v>
      </x:c>
      <x:c r="D190" s="21" t="str">
        <x:v>kofia_fd_ccd</x:v>
      </x:c>
      <x:c r="E190" s="21" t="str">
        <x:v>DIMENSION</x:v>
      </x:c>
      <x:c r="F190" s="21" t="str">
        <x:v>string</x:v>
      </x:c>
      <x:c r="G190" s="21" t="str">
        <x:v>CODE</x:v>
      </x:c>
      <x:c r="H190" s="21" t="str">
        <x:v>eq|in</x:v>
      </x:c>
      <x:c r="I190" s="21" t="str">
        <x:v>PENDING</x:v>
      </x:c>
      <x:c r="J190" s="21" t="str">
        <x:v>BLOCKED_CODEBOOK_MISSING</x:v>
      </x:c>
      <x:c r="K190" s="21" t="str">
        <x:v>PLACEHOLDER_ZERO</x:v>
      </x:c>
      <x:c r="L190" s="21" t="str">
        <x:v>NONE</x:v>
      </x:c>
      <x:c r="M190" s="21" t="str"/>
    </x:row>
    <x:row r="191">
      <x:c r="A191" s="21" t="str">
        <x:v>product.alias.ksd_id</x:v>
      </x:c>
      <x:c r="B191" s="21" t="str">
        <x:v>fund</x:v>
      </x:c>
      <x:c r="C191" s="21" t="str">
        <x:v>PRFD01N001</x:v>
      </x:c>
      <x:c r="D191" s="21" t="str">
        <x:v>ksd_itm_no</x:v>
      </x:c>
      <x:c r="E191" s="21" t="str">
        <x:v>ALIAS_ID</x:v>
      </x:c>
      <x:c r="F191" s="21" t="str">
        <x:v>string</x:v>
      </x:c>
      <x:c r="G191" s="21" t="str">
        <x:v>IDENTIFIER</x:v>
      </x:c>
      <x:c r="H191" s="21" t="str">
        <x:v>eq|in</x:v>
      </x:c>
      <x:c r="I191" s="21" t="str">
        <x:v>ALIAS_ONLY</x:v>
      </x:c>
      <x:c r="J191" s="21" t="str">
        <x:v>BLOCKED</x:v>
      </x:c>
      <x:c r="K191" s="21" t="str">
        <x:v>MISSING_AND_NONUNIQUE</x:v>
      </x:c>
      <x:c r="L191" s="21" t="str">
        <x:v>NONE</x:v>
      </x:c>
      <x:c r="M191" s="21" t="str"/>
    </x:row>
    <x:row r="192">
      <x:c r="A192" s="21" t="str">
        <x:v>product.alias.manager_item_id</x:v>
      </x:c>
      <x:c r="B192" s="21" t="str">
        <x:v>fund</x:v>
      </x:c>
      <x:c r="C192" s="21" t="str">
        <x:v>PRFD01N001</x:v>
      </x:c>
      <x:c r="D192" s="21" t="str">
        <x:v>mtco_itm_no</x:v>
      </x:c>
      <x:c r="E192" s="21" t="str">
        <x:v>ALIAS_ID</x:v>
      </x:c>
      <x:c r="F192" s="21" t="str">
        <x:v>string</x:v>
      </x:c>
      <x:c r="G192" s="21" t="str">
        <x:v>IDENTIFIER</x:v>
      </x:c>
      <x:c r="H192" s="21" t="str">
        <x:v>eq|in</x:v>
      </x:c>
      <x:c r="I192" s="21" t="str">
        <x:v>ALIAS_ONLY</x:v>
      </x:c>
      <x:c r="J192" s="21" t="str">
        <x:v>BLOCKED</x:v>
      </x:c>
      <x:c r="K192" s="21" t="str">
        <x:v>PLACEHOLDER_ZERO</x:v>
      </x:c>
      <x:c r="L192" s="21" t="str">
        <x:v>NONE</x:v>
      </x:c>
      <x:c r="M192" s="21" t="str"/>
    </x:row>
    <x:row r="193">
      <x:c r="A193" s="21" t="str">
        <x:v>fund.offshore_flag</x:v>
      </x:c>
      <x:c r="B193" s="21" t="str">
        <x:v>fund</x:v>
      </x:c>
      <x:c r="C193" s="21" t="str">
        <x:v>PRFD01N001</x:v>
      </x:c>
      <x:c r="D193" s="21" t="str">
        <x:v>ofsfd_yn</x:v>
      </x:c>
      <x:c r="E193" s="21" t="str">
        <x:v>DIMENSION</x:v>
      </x:c>
      <x:c r="F193" s="21" t="str">
        <x:v>string</x:v>
      </x:c>
      <x:c r="G193" s="21" t="str">
        <x:v>BOOLEAN_CODE</x:v>
      </x:c>
      <x:c r="H193" s="21" t="str">
        <x:v>eq|in</x:v>
      </x:c>
      <x:c r="I193" s="21" t="str">
        <x:v>BLOCKED_CONSTANT</x:v>
      </x:c>
      <x:c r="J193" s="21" t="str">
        <x:v>BLOCKED_CONSTANT</x:v>
      </x:c>
      <x:c r="K193" s="21" t="str">
        <x:v>UNUSABLE_CONSTANT</x:v>
      </x:c>
      <x:c r="L193" s="21" t="str">
        <x:v>NONE</x:v>
      </x:c>
      <x:c r="M193" s="21" t="str">
        <x:v>normal rows all zero</x:v>
      </x:c>
    </x:row>
    <x:row r="194">
      <x:c r="A194" s="21" t="str">
        <x:v>product.asset_class</x:v>
      </x:c>
      <x:c r="B194" s="21" t="str">
        <x:v>fund</x:v>
      </x:c>
      <x:c r="C194" s="21" t="str">
        <x:v>PRFD01N001</x:v>
      </x:c>
      <x:c r="D194" s="21" t="str">
        <x:v>or_attr_desc</x:v>
      </x:c>
      <x:c r="E194" s="21" t="str">
        <x:v>DIMENSION</x:v>
      </x:c>
      <x:c r="F194" s="21" t="str">
        <x:v>string</x:v>
      </x:c>
      <x:c r="G194" s="21" t="str">
        <x:v>CATEGORY</x:v>
      </x:c>
      <x:c r="H194" s="21" t="str">
        <x:v>eq|in|contains</x:v>
      </x:c>
      <x:c r="I194" s="21" t="str">
        <x:v>ALLOWED</x:v>
      </x:c>
      <x:c r="J194" s="21" t="str">
        <x:v>ALLOWED</x:v>
      </x:c>
      <x:c r="K194" s="21" t="str">
        <x:v>VALUE_06_OPEN</x:v>
      </x:c>
      <x:c r="L194" s="21" t="str">
        <x:v>NONE</x:v>
      </x:c>
      <x:c r="M194" s="21" t="str"/>
    </x:row>
    <x:row r="195">
      <x:c r="A195" s="21" t="str">
        <x:v>product.manager_code</x:v>
      </x:c>
      <x:c r="B195" s="21" t="str">
        <x:v>fund</x:v>
      </x:c>
      <x:c r="C195" s="21" t="str">
        <x:v>PRFD01N001</x:v>
      </x:c>
      <x:c r="D195" s="21" t="str">
        <x:v>or_co_xtn_itt_cd</x:v>
      </x:c>
      <x:c r="E195" s="21" t="str">
        <x:v>DIMENSION</x:v>
      </x:c>
      <x:c r="F195" s="21" t="str">
        <x:v>string</x:v>
      </x:c>
      <x:c r="G195" s="21" t="str">
        <x:v>INSTITUTION_CODE</x:v>
      </x:c>
      <x:c r="H195" s="21" t="str">
        <x:v>eq|in</x:v>
      </x:c>
      <x:c r="I195" s="21" t="str">
        <x:v>CODE_ONLY</x:v>
      </x:c>
      <x:c r="J195" s="21" t="str">
        <x:v>BLOCKED</x:v>
      </x:c>
      <x:c r="K195" s="21" t="str">
        <x:v>DAMAGED_ROW_FLAG</x:v>
      </x:c>
      <x:c r="L195" s="21" t="str">
        <x:v>NONE</x:v>
      </x:c>
      <x:c r="M195" s="21" t="str">
        <x:v>manager name unavailable</x:v>
      </x:c>
    </x:row>
    <x:row r="196">
      <x:c r="A196" s="21" t="str">
        <x:v>fund.domestic_overseas_class</x:v>
      </x:c>
      <x:c r="B196" s="21" t="str">
        <x:v>fund</x:v>
      </x:c>
      <x:c r="C196" s="21" t="str">
        <x:v>PRFD01N001</x:v>
      </x:c>
      <x:c r="D196" s="21" t="str">
        <x:v>ovrs_fd_desc</x:v>
      </x:c>
      <x:c r="E196" s="21" t="str">
        <x:v>DIMENSION</x:v>
      </x:c>
      <x:c r="F196" s="21" t="str">
        <x:v>string</x:v>
      </x:c>
      <x:c r="G196" s="21" t="str">
        <x:v>CATEGORY</x:v>
      </x:c>
      <x:c r="H196" s="21" t="str">
        <x:v>eq|in</x:v>
      </x:c>
      <x:c r="I196" s="21" t="str">
        <x:v>ALLOWED</x:v>
      </x:c>
      <x:c r="J196" s="21" t="str">
        <x:v>ALLOWED</x:v>
      </x:c>
      <x:c r="K196" s="21" t="str">
        <x:v>MISSING_ALLOWED</x:v>
      </x:c>
      <x:c r="L196" s="21" t="str">
        <x:v>NONE</x:v>
      </x:c>
      <x:c r="M196" s="21" t="str"/>
    </x:row>
    <x:row r="197">
      <x:c r="A197" s="21" t="str">
        <x:v>fund.person_corporate_class</x:v>
      </x:c>
      <x:c r="B197" s="21" t="str">
        <x:v>fund</x:v>
      </x:c>
      <x:c r="C197" s="21" t="str">
        <x:v>PRFD01N001</x:v>
      </x:c>
      <x:c r="D197" s="21" t="str">
        <x:v>pers_corp_desc</x:v>
      </x:c>
      <x:c r="E197" s="21" t="str">
        <x:v>DIMENSION</x:v>
      </x:c>
      <x:c r="F197" s="21" t="str">
        <x:v>string</x:v>
      </x:c>
      <x:c r="G197" s="21" t="str">
        <x:v>CATEGORY</x:v>
      </x:c>
      <x:c r="H197" s="21" t="str">
        <x:v>eq|in</x:v>
      </x:c>
      <x:c r="I197" s="21" t="str">
        <x:v>ALLOWED</x:v>
      </x:c>
      <x:c r="J197" s="21" t="str">
        <x:v>ALLOWED</x:v>
      </x:c>
      <x:c r="K197" s="21" t="str">
        <x:v>MISSING_ALLOWED</x:v>
      </x:c>
      <x:c r="L197" s="21" t="str">
        <x:v>NONE</x:v>
      </x:c>
      <x:c r="M197" s="21" t="str"/>
    </x:row>
    <x:row r="198">
      <x:c r="A198" s="21" t="str">
        <x:v>fund.professional_investor_sale_control_code</x:v>
      </x:c>
      <x:c r="B198" s="21" t="str">
        <x:v>fund</x:v>
      </x:c>
      <x:c r="C198" s="21" t="str">
        <x:v>PRFD01N001</x:v>
      </x:c>
      <x:c r="D198" s="21" t="str">
        <x:v>pfiv_sale_cntl_tcd</x:v>
      </x:c>
      <x:c r="E198" s="21" t="str">
        <x:v>DIMENSION</x:v>
      </x:c>
      <x:c r="F198" s="21" t="str">
        <x:v>string</x:v>
      </x:c>
      <x:c r="G198" s="21" t="str">
        <x:v>CODE</x:v>
      </x:c>
      <x:c r="H198" s="21" t="str">
        <x:v>eq|in</x:v>
      </x:c>
      <x:c r="I198" s="21" t="str">
        <x:v>PENDING</x:v>
      </x:c>
      <x:c r="J198" s="21" t="str">
        <x:v>BLOCKED_CODEBOOK_MISSING</x:v>
      </x:c>
      <x:c r="K198" s="21" t="str">
        <x:v>ZERO_UNKNOWN</x:v>
      </x:c>
      <x:c r="L198" s="21" t="str">
        <x:v>NONE</x:v>
      </x:c>
      <x:c r="M198" s="21" t="str"/>
    </x:row>
    <x:row r="199">
      <x:c r="A199" s="21" t="str">
        <x:v>fund.attribute_code</x:v>
      </x:c>
      <x:c r="B199" s="21" t="str">
        <x:v>fund</x:v>
      </x:c>
      <x:c r="C199" s="21" t="str">
        <x:v>PRFD01N001</x:v>
      </x:c>
      <x:c r="D199" s="21" t="str">
        <x:v>prfd_attr_cd</x:v>
      </x:c>
      <x:c r="E199" s="21" t="str">
        <x:v>BRIDGE_KEY</x:v>
      </x:c>
      <x:c r="F199" s="21" t="str">
        <x:v>string</x:v>
      </x:c>
      <x:c r="G199" s="21" t="str">
        <x:v>CODE</x:v>
      </x:c>
      <x:c r="H199" s="21" t="str">
        <x:v>eq|in</x:v>
      </x:c>
      <x:c r="I199" s="21" t="str">
        <x:v>CODE_ONLY</x:v>
      </x:c>
      <x:c r="J199" s="21" t="str">
        <x:v>BLOCKED_CODEBOOK_MISSING</x:v>
      </x:c>
      <x:c r="K199" s="21" t="str">
        <x:v>VALID</x:v>
      </x:c>
      <x:c r="L199" s="21" t="str">
        <x:v>NONE</x:v>
      </x:c>
      <x:c r="M199" s="21" t="str">
        <x:v>228 codes and bridge EXISTS only</x:v>
      </x:c>
    </x:row>
    <x:row r="200">
      <x:c r="A200" s="21" t="str">
        <x:v>fund.private_fund_class</x:v>
      </x:c>
      <x:c r="B200" s="21" t="str">
        <x:v>fund</x:v>
      </x:c>
      <x:c r="C200" s="21" t="str">
        <x:v>PRFD01N001</x:v>
      </x:c>
      <x:c r="D200" s="21" t="str">
        <x:v>prvo_fd_desc</x:v>
      </x:c>
      <x:c r="E200" s="21" t="str">
        <x:v>DIMENSION</x:v>
      </x:c>
      <x:c r="F200" s="21" t="str">
        <x:v>string</x:v>
      </x:c>
      <x:c r="G200" s="21" t="str">
        <x:v>CATEGORY</x:v>
      </x:c>
      <x:c r="H200" s="21" t="str">
        <x:v>eq|in</x:v>
      </x:c>
      <x:c r="I200" s="21" t="str">
        <x:v>ALLOWED</x:v>
      </x:c>
      <x:c r="J200" s="21" t="str">
        <x:v>ALLOWED</x:v>
      </x:c>
      <x:c r="K200" s="21" t="str">
        <x:v>MISSING_ALLOWED</x:v>
      </x:c>
      <x:c r="L200" s="21" t="str">
        <x:v>NONE</x:v>
      </x:c>
      <x:c r="M200" s="21" t="str"/>
    </x:row>
    <x:row r="201">
      <x:c r="A201" s="21" t="str">
        <x:v>product.public_private</x:v>
      </x:c>
      <x:c r="B201" s="21" t="str">
        <x:v>fund</x:v>
      </x:c>
      <x:c r="C201" s="21" t="str">
        <x:v>PRFD01N001</x:v>
      </x:c>
      <x:c r="D201" s="21" t="str">
        <x:v>prvo_pbff_desc</x:v>
      </x:c>
      <x:c r="E201" s="21" t="str">
        <x:v>DIMENSION</x:v>
      </x:c>
      <x:c r="F201" s="21" t="str">
        <x:v>string</x:v>
      </x:c>
      <x:c r="G201" s="21" t="str">
        <x:v>CATEGORY</x:v>
      </x:c>
      <x:c r="H201" s="21" t="str">
        <x:v>eq|in</x:v>
      </x:c>
      <x:c r="I201" s="21" t="str">
        <x:v>ALLOWED</x:v>
      </x:c>
      <x:c r="J201" s="21" t="str">
        <x:v>ALLOWED</x:v>
      </x:c>
      <x:c r="K201" s="21" t="str">
        <x:v>MISSING_ALLOWED</x:v>
      </x:c>
      <x:c r="L201" s="21" t="str">
        <x:v>NONE</x:v>
      </x:c>
      <x:c r="M201" s="21" t="str">
        <x:v>public default universe</x:v>
      </x:c>
    </x:row>
    <x:row r="202">
      <x:c r="A202" s="21" t="str">
        <x:v>fund.family_candidate_id</x:v>
      </x:c>
      <x:c r="B202" s="21" t="str">
        <x:v>fund</x:v>
      </x:c>
      <x:c r="C202" s="21" t="str">
        <x:v>PRFD01N001</x:v>
      </x:c>
      <x:c r="D202" s="21" t="str">
        <x:v>rptt_ksd_itm_no</x:v>
      </x:c>
      <x:c r="E202" s="21" t="str">
        <x:v>ALIAS_ID</x:v>
      </x:c>
      <x:c r="F202" s="21" t="str">
        <x:v>string</x:v>
      </x:c>
      <x:c r="G202" s="21" t="str">
        <x:v>IDENTIFIER</x:v>
      </x:c>
      <x:c r="H202" s="21" t="str">
        <x:v>eq|in</x:v>
      </x:c>
      <x:c r="I202" s="21" t="str">
        <x:v>PENDING</x:v>
      </x:c>
      <x:c r="J202" s="21" t="str">
        <x:v>BLOCKED_PENDING_SEMANTICS</x:v>
      </x:c>
      <x:c r="K202" s="21" t="str">
        <x:v>PLACEHOLDER_GROUP_IDS</x:v>
      </x:c>
      <x:c r="L202" s="21" t="str">
        <x:v>NONE</x:v>
      </x:c>
      <x:c r="M202" s="21" t="str">
        <x:v>not a confirmed family key</x:v>
      </x:c>
    </x:row>
    <x:row r="203">
      <x:c r="A203" s="21" t="str">
        <x:v>product.sale_status</x:v>
      </x:c>
      <x:c r="B203" s="21" t="str">
        <x:v>fund</x:v>
      </x:c>
      <x:c r="C203" s="21" t="str">
        <x:v>PRFD01N001</x:v>
      </x:c>
      <x:c r="D203" s="21" t="str">
        <x:v>sale_yn</x:v>
      </x:c>
      <x:c r="E203" s="21" t="str">
        <x:v>STATUS</x:v>
      </x:c>
      <x:c r="F203" s="21" t="str">
        <x:v>string</x:v>
      </x:c>
      <x:c r="G203" s="21" t="str">
        <x:v>CATEGORY</x:v>
      </x:c>
      <x:c r="H203" s="21" t="str">
        <x:v>eq|in</x:v>
      </x:c>
      <x:c r="I203" s="21" t="str">
        <x:v>ALLOWED</x:v>
      </x:c>
      <x:c r="J203" s="21" t="str">
        <x:v>ALLOWED</x:v>
      </x:c>
      <x:c r="K203" s="21" t="str">
        <x:v>DAMAGED_ROW_FLAG</x:v>
      </x:c>
      <x:c r="L203" s="21" t="str">
        <x:v>NONE</x:v>
      </x:c>
      <x:c r="M203" s="21" t="str"/>
    </x:row>
    <x:row r="204">
      <x:c r="A204" s="21" t="str">
        <x:v>product.alias.standard_id</x:v>
      </x:c>
      <x:c r="B204" s="21" t="str">
        <x:v>fund</x:v>
      </x:c>
      <x:c r="C204" s="21" t="str">
        <x:v>PRFD01N001</x:v>
      </x:c>
      <x:c r="D204" s="21" t="str">
        <x:v>std_itm_no</x:v>
      </x:c>
      <x:c r="E204" s="21" t="str">
        <x:v>ALIAS_ID</x:v>
      </x:c>
      <x:c r="F204" s="21" t="str">
        <x:v>string</x:v>
      </x:c>
      <x:c r="G204" s="21" t="str">
        <x:v>IDENTIFIER</x:v>
      </x:c>
      <x:c r="H204" s="21" t="str">
        <x:v>eq|in</x:v>
      </x:c>
      <x:c r="I204" s="21" t="str">
        <x:v>ALIAS_ONLY</x:v>
      </x:c>
      <x:c r="J204" s="21" t="str">
        <x:v>BLOCKED</x:v>
      </x:c>
      <x:c r="K204" s="21" t="str">
        <x:v>MISSING_AND_NONUNIQUE</x:v>
      </x:c>
      <x:c r="L204" s="21" t="str">
        <x:v>NONE</x:v>
      </x:c>
      <x:c r="M204" s="21" t="str"/>
    </x:row>
    <x:row r="205">
      <x:c r="A205" s="21" t="str">
        <x:v>product.mirae_sale_flag</x:v>
      </x:c>
      <x:c r="B205" s="21" t="str">
        <x:v>fund</x:v>
      </x:c>
      <x:c r="C205" s="21" t="str">
        <x:v>PRFD01N001</x:v>
      </x:c>
      <x:c r="D205" s="21" t="str">
        <x:v>thco_sale_yn</x:v>
      </x:c>
      <x:c r="E205" s="21" t="str">
        <x:v>STATUS</x:v>
      </x:c>
      <x:c r="F205" s="21" t="str">
        <x:v>string</x:v>
      </x:c>
      <x:c r="G205" s="21" t="str">
        <x:v>BOOLEAN_CODE</x:v>
      </x:c>
      <x:c r="H205" s="21" t="str">
        <x:v>eq|in</x:v>
      </x:c>
      <x:c r="I205" s="21" t="str">
        <x:v>ALLOWED</x:v>
      </x:c>
      <x:c r="J205" s="21" t="str">
        <x:v>ALLOWED_WITH_COVERAGE</x:v>
      </x:c>
      <x:c r="K205" s="21" t="str">
        <x:v>DAMAGED_ROW_FLAG</x:v>
      </x:c>
      <x:c r="L205" s="21" t="str">
        <x:v>NONE</x:v>
      </x:c>
      <x:c r="M205" s="21" t="str"/>
    </x:row>
    <x:row r="206">
      <x:c r="A206" s="21" t="str">
        <x:v>fund.trustee_code</x:v>
      </x:c>
      <x:c r="B206" s="21" t="str">
        <x:v>fund</x:v>
      </x:c>
      <x:c r="C206" s="21" t="str">
        <x:v>PRFD01N001</x:v>
      </x:c>
      <x:c r="D206" s="21" t="str">
        <x:v>trusc_xtn_itt_cd</x:v>
      </x:c>
      <x:c r="E206" s="21" t="str">
        <x:v>DIMENSION</x:v>
      </x:c>
      <x:c r="F206" s="21" t="str">
        <x:v>string</x:v>
      </x:c>
      <x:c r="G206" s="21" t="str">
        <x:v>INSTITUTION_CODE</x:v>
      </x:c>
      <x:c r="H206" s="21" t="str">
        <x:v>eq|in</x:v>
      </x:c>
      <x:c r="I206" s="21" t="str">
        <x:v>CODE_ONLY</x:v>
      </x:c>
      <x:c r="J206" s="21" t="str">
        <x:v>BLOCKED</x:v>
      </x:c>
      <x:c r="K206" s="21" t="str">
        <x:v>DAMAGED_ROW_FLAG</x:v>
      </x:c>
      <x:c r="L206" s="21" t="str">
        <x:v>NONE</x:v>
      </x:c>
      <x:c r="M206" s="21" t="str"/>
    </x:row>
    <x:row r="207">
      <x:c r="A207" s="21" t="str">
        <x:v>fund.risk_grade_code</x:v>
      </x:c>
      <x:c r="B207" s="21" t="str">
        <x:v>fund</x:v>
      </x:c>
      <x:c r="C207" s="21" t="str">
        <x:v>PRFD01N001</x:v>
      </x:c>
      <x:c r="D207" s="21" t="str">
        <x:v>zrin_fd_ivst_risk_gcd</x:v>
      </x:c>
      <x:c r="E207" s="21" t="str">
        <x:v>DIMENSION</x:v>
      </x:c>
      <x:c r="F207" s="21" t="str">
        <x:v>string</x:v>
      </x:c>
      <x:c r="G207" s="21" t="str">
        <x:v>CODE</x:v>
      </x:c>
      <x:c r="H207" s="21" t="str">
        <x:v>eq|in</x:v>
      </x:c>
      <x:c r="I207" s="21" t="str">
        <x:v>ALLOWED</x:v>
      </x:c>
      <x:c r="J207" s="21" t="str">
        <x:v>BLOCKED_PENDING_ORDER</x:v>
      </x:c>
      <x:c r="K207" s="21" t="str">
        <x:v>LITERAL_NULL_AND_DAMAGED</x:v>
      </x:c>
      <x:c r="L207" s="21" t="str">
        <x:v>NONE</x:v>
      </x:c>
      <x:c r="M207" s="21" t="str">
        <x:v>literal NULL is missing</x:v>
      </x:c>
    </x:row>
    <x:row r="208">
      <x:c r="A208" s="21" t="str">
        <x:v>fund.risk_grade_name</x:v>
      </x:c>
      <x:c r="B208" s="21" t="str">
        <x:v>fund</x:v>
      </x:c>
      <x:c r="C208" s="21" t="str">
        <x:v>PRFD01N001</x:v>
      </x:c>
      <x:c r="D208" s="21" t="str">
        <x:v>zrin_fd_ivst_risk_grd_nm</x:v>
      </x:c>
      <x:c r="E208" s="21" t="str">
        <x:v>DIMENSION</x:v>
      </x:c>
      <x:c r="F208" s="21" t="str">
        <x:v>string</x:v>
      </x:c>
      <x:c r="G208" s="21" t="str">
        <x:v>RISK_SCALE</x:v>
      </x:c>
      <x:c r="H208" s="21" t="str">
        <x:v>eq|in</x:v>
      </x:c>
      <x:c r="I208" s="21" t="str">
        <x:v>ALLOWED</x:v>
      </x:c>
      <x:c r="J208" s="21" t="str">
        <x:v>BLOCKED_PENDING_ORDER</x:v>
      </x:c>
      <x:c r="K208" s="21" t="str">
        <x:v>NORMALIZE_SPACING_AND_DAMAGED</x:v>
      </x:c>
      <x:c r="L208" s="21" t="str">
        <x:v>NONE</x:v>
      </x:c>
      <x:c r="M208" s="21" t="str">
        <x:v>do not compare across product groups</x:v>
      </x:c>
    </x:row>
  </x:sheetData>
  <x:pageMargins left="0.7" right="0.7" top="0.75" bottom="0.75" header="0.3" footer="0.3"/>
  <x:tableParts count="1">
    <x:tablePart xmlns:r="http://schemas.openxmlformats.org/officeDocument/2006/relationships" r:id="Rce78d2257f8245b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20" hidden="0" customWidth="1"/>
    <x:col min="4" max="4" width="20" hidden="0" customWidth="1"/>
    <x:col min="5" max="5" width="24" hidden="0" customWidth="1"/>
    <x:col min="6" max="6" width="74" hidden="0" customWidth="1"/>
  </x:cols>
  <x:sheetData>
    <x:row r="1" ht="34" customHeight="1">
      <x:c r="A1" s="12" t="str">
        <x:v>quality_state</x:v>
      </x:c>
      <x:c r="B1" s="13" t="str">
        <x:v>metric_rows</x:v>
      </x:c>
      <x:c r="C1" s="13" t="str">
        <x:v>plain_meaning</x:v>
      </x:c>
      <x:c r="D1" s="14" t="str">
        <x:v>execution_policy</x:v>
      </x:c>
    </x:row>
    <x:row r="2" ht="34" customHeight="1">
      <x:c r="A2" s="20" t="str">
        <x:v>VALID</x:v>
      </x:c>
      <x:c r="B2" s="25" t="n">
        <x:v>599036</x:v>
      </x:c>
      <x:c r="C2" s="20" t="str">
        <x:v>usable after semantic validation | 의미·형식 검증 통과</x:v>
      </x:c>
      <x:c r="D2" s="20" t="str">
        <x:v>calculate only under metric and date policy</x:v>
      </x:c>
    </x:row>
    <x:row r="3" ht="34" customHeight="1">
      <x:c r="A3" s="21" t="str">
        <x:v>MISSING_NULL</x:v>
      </x:c>
      <x:c r="B3" s="26" t="n">
        <x:v>467927</x:v>
      </x:c>
      <x:c r="C3" s="21" t="str">
        <x:v>source cell is empty | 원본 결측</x:v>
      </x:c>
      <x:c r="D3" s="21" t="str">
        <x:v>never replace with zero | 0 대체 금지</x:v>
      </x:c>
    </x:row>
    <x:row r="4" ht="34" customHeight="1">
      <x:c r="A4" s="21" t="str">
        <x:v>UNAVAILABLE</x:v>
      </x:c>
      <x:c r="B4" s="26" t="n">
        <x:v>39328</x:v>
      </x:c>
      <x:c r="C4" s="21" t="str">
        <x:v>not supplied by source | 원본 미제공</x:v>
      </x:c>
      <x:c r="D4" s="21" t="str">
        <x:v>answer unavailable | 확인 불가</x:v>
      </x:c>
    </x:row>
    <x:row r="5" ht="34" customHeight="1">
      <x:c r="A5" s="21" t="str">
        <x:v>ZERO_UNKNOWN</x:v>
      </x:c>
      <x:c r="B5" s="26" t="n">
        <x:v>38211</x:v>
      </x:c>
      <x:c r="C5" s="21" t="str">
        <x:v>zero meaning is unresolved | 0 의미 미확정</x:v>
      </x:c>
      <x:c r="D5" s="21" t="str">
        <x:v>count as present; exclude from rank/filter/aggregate</x:v>
      </x:c>
    </x:row>
    <x:row r="6" ht="34" customHeight="1">
      <x:c r="A6" s="21" t="str">
        <x:v>UNUSABLE_CONSTANT</x:v>
      </x:c>
      <x:c r="B6" s="26" t="n">
        <x:v>10890</x:v>
      </x:c>
      <x:c r="C6" s="21" t="str">
        <x:v>constant and uninformative | 상수 필드</x:v>
      </x:c>
      <x:c r="D6" s="21" t="str">
        <x:v>block computation | 계산 차단</x:v>
      </x:c>
    </x:row>
    <x:row r="7" ht="34" customHeight="1">
      <x:c r="A7" s="21" t="str">
        <x:v>SENTINEL</x:v>
      </x:c>
      <x:c r="B7" s="26" t="n">
        <x:v>908</x:v>
      </x:c>
      <x:c r="C7" s="21" t="str">
        <x:v>possible special marker such as -100</x:v>
      </x:c>
      <x:c r="D7" s="21" t="str">
        <x:v>block or review separately | 별도 검토</x:v>
      </x:c>
    </x:row>
    <x:row r="8" ht="34" customHeight="1">
      <x:c r="A8" s="21" t="str">
        <x:v>SUSPECT_OUTLIER</x:v>
      </x:c>
      <x:c r="B8" s="26" t="n">
        <x:v>29</x:v>
      </x:c>
      <x:c r="C8" s="21" t="str">
        <x:v>extreme value needs source review</x:v>
      </x:c>
      <x:c r="D8" s="21" t="str">
        <x:v>limited use with warning | 경고</x:v>
      </x:c>
    </x:row>
    <x:row r="9" ht="34" customHeight="1">
      <x:c r="A9" s="21" t="str">
        <x:v>PARTIAL</x:v>
      </x:c>
      <x:c r="B9" s="26" t="n">
        <x:v>3</x:v>
      </x:c>
      <x:c r="C9" s="21" t="str">
        <x:v>only partly interpretable | 일부 해석</x:v>
      </x:c>
      <x:c r="D9" s="21" t="str">
        <x:v>use with explicit limitation</x:v>
      </x:c>
    </x:row>
    <x:row r="12" ht="34" customHeight="1">
      <x:c r="A12" s="12" t="str">
        <x:v>as_of_state</x:v>
      </x:c>
      <x:c r="B12" s="13" t="str">
        <x:v>metric_rows</x:v>
      </x:c>
      <x:c r="C12" s="13" t="str">
        <x:v>meaning</x:v>
      </x:c>
      <x:c r="D12" s="14" t="str">
        <x:v>ranking_rule</x:v>
      </x:c>
    </x:row>
    <x:row r="13" ht="34" customHeight="1">
      <x:c r="A13" s="20" t="str">
        <x:v>AVAILABLE</x:v>
      </x:c>
      <x:c r="B13" s="25" t="n">
        <x:v>227347</x:v>
      </x:c>
      <x:c r="C13" s="20" t="str">
        <x:v>row or metric date is known | 기준일 확인</x:v>
      </x:c>
      <x:c r="D13" s="20" t="str">
        <x:v>use common latest date in filtered universe</x:v>
      </x:c>
    </x:row>
    <x:row r="14" ht="34" customHeight="1">
      <x:c r="A14" s="21" t="str">
        <x:v>DATASET_SNAPSHOT_ONLY</x:v>
      </x:c>
      <x:c r="B14" s="26" t="n">
        <x:v>421730</x:v>
      </x:c>
      <x:c r="C14" s="21" t="str">
        <x:v>only dataset snapshot is known</x:v>
      </x:c>
      <x:c r="D14" s="21" t="str">
        <x:v>allow only if all values are undated; disclose limit</x:v>
      </x:c>
    </x:row>
    <x:row r="15" ht="34" customHeight="1">
      <x:c r="A15" s="21" t="str">
        <x:v>UNAVAILABLE</x:v>
      </x:c>
      <x:c r="B15" s="26" t="n">
        <x:v>507255</x:v>
      </x:c>
      <x:c r="C15" s="21" t="str">
        <x:v>date cannot be verified | 기준일 불명</x:v>
      </x:c>
      <x:c r="D15" s="21" t="str">
        <x:v>do not use as sole comparison basis</x:v>
      </x:c>
    </x:row>
    <x:row r="18" ht="34" customHeight="1">
      <x:c r="A18" s="12" t="str">
        <x:v>decision_area</x:v>
      </x:c>
      <x:c r="B18" s="13" t="str">
        <x:v>universe</x:v>
      </x:c>
      <x:c r="C18" s="13" t="str">
        <x:v>source_present</x:v>
      </x:c>
      <x:c r="D18" s="13" t="str">
        <x:v>quality_valid</x:v>
      </x:c>
      <x:c r="E18" s="13" t="str">
        <x:v>rankable_or_default</x:v>
      </x:c>
      <x:c r="F18" s="14" t="str">
        <x:v>rule</x:v>
      </x:c>
    </x:row>
    <x:row r="19" ht="38" customHeight="1">
      <x:c r="A19" s="20" t="str">
        <x:v>Domestic ETF 1Y | 국내 ETF 1Y</x:v>
      </x:c>
      <x:c r="B19" s="25" t="n">
        <x:v>1201</x:v>
      </x:c>
      <x:c r="C19" s="25" t="n">
        <x:v>986</x:v>
      </x:c>
      <x:c r="D19" s="25" t="n">
        <x:v>951</x:v>
      </x:c>
      <x:c r="E19" s="25" t="n">
        <x:v>940</x:v>
      </x:c>
      <x:c r="F19" s="20" t="str">
        <x:v>common latest 2026-06-15; exclude stale and undated values</x:v>
      </x:c>
    </x:row>
    <x:row r="20" ht="38" customHeight="1">
      <x:c r="A20" s="21" t="str">
        <x:v>Full fund serving | 전체 펀드</x:v>
      </x:c>
      <x:c r="B20" s="26" t="n">
        <x:v>11138</x:v>
      </x:c>
      <x:c r="C20" s="26"/>
      <x:c r="D20" s="26"/>
      <x:c r="E20" s="26" t="n">
        <x:v>11138</x:v>
      </x:c>
      <x:c r="F20" s="21" t="str">
        <x:v>raw audit universe | 감사 범위</x:v>
      </x:c>
    </x:row>
    <x:row r="21" ht="38" customHeight="1">
      <x:c r="A21" s="21" t="str">
        <x:v>Default fund API | 공모 기본</x:v>
      </x:c>
      <x:c r="B21" s="26" t="n">
        <x:v>11115</x:v>
      </x:c>
      <x:c r="C21" s="26"/>
      <x:c r="D21" s="26"/>
      <x:c r="E21" s="26" t="n">
        <x:v>11115</x:v>
      </x:c>
      <x:c r="F21" s="21" t="str">
        <x:v>public only; exclude private 15 and class-null 8</x:v>
      </x:c>
    </x:row>
    <x:row r="22" ht="38" customHeight="1">
      <x:c r="A22" s="21" t="str">
        <x:v>Public fund risk | 위험등급</x:v>
      </x:c>
      <x:c r="B22" s="26" t="n">
        <x:v>11115</x:v>
      </x:c>
      <x:c r="C22" s="26" t="n">
        <x:v>8564</x:v>
      </x:c>
      <x:c r="D22" s="26" t="n">
        <x:v>8564</x:v>
      </x:c>
      <x:c r="E22" s="26" t="n">
        <x:v>8564</x:v>
      </x:c>
      <x:c r="F22" s="21" t="str">
        <x:v>missing 2,551; rank blocked until official order</x:v>
      </x:c>
    </x:row>
    <x:row r="23" ht="38" customHeight="1">
      <x:c r="A23" s="21" t="str">
        <x:v>Public fund on sale | 판매중</x:v>
      </x:c>
      <x:c r="B23" s="26" t="n">
        <x:v>11115</x:v>
      </x:c>
      <x:c r="C23" s="26" t="n">
        <x:v>8445</x:v>
      </x:c>
      <x:c r="D23" s="26" t="n">
        <x:v>8445</x:v>
      </x:c>
      <x:c r="E23" s="26" t="n">
        <x:v>8445</x:v>
      </x:c>
      <x:c r="F23" s="21" t="str">
        <x:v>inside default public universe</x:v>
      </x:c>
    </x:row>
    <x:row r="24" ht="38" customHeight="1">
      <x:c r="A24" s="21" t="str">
        <x:v>Public fund completed | 판매완료</x:v>
      </x:c>
      <x:c r="B24" s="26" t="n">
        <x:v>11115</x:v>
      </x:c>
      <x:c r="C24" s="26" t="n">
        <x:v>2670</x:v>
      </x:c>
      <x:c r="D24" s="26" t="n">
        <x:v>2670</x:v>
      </x:c>
      <x:c r="E24" s="26" t="n">
        <x:v>2670</x:v>
      </x:c>
      <x:c r="F24" s="21" t="str">
        <x:v>inside default public universe</x:v>
      </x:c>
    </x:row>
    <x:row r="25" ht="38" customHeight="1">
      <x:c r="A25" s="21" t="str">
        <x:v>Bond buyable qty | 매수가능수량</x:v>
      </x:c>
      <x:c r="B25" s="26" t="n">
        <x:v>42394</x:v>
      </x:c>
      <x:c r="C25" s="26" t="n">
        <x:v>881</x:v>
      </x:c>
      <x:c r="D25" s="26" t="n">
        <x:v>325</x:v>
      </x:c>
      <x:c r="E25" s="26" t="n">
        <x:v>325</x:v>
      </x:c>
      <x:c r="F25" s="21" t="str">
        <x:v>881 present; exclude 556 unresolved zeros</x:v>
      </x:c>
    </x:row>
    <x:row r="26" ht="38" customHeight="1">
      <x:c r="A26" s="21" t="str">
        <x:v>Overseas ETF close | 해외 종가</x:v>
      </x:c>
      <x:c r="B26" s="26" t="n">
        <x:v>5579</x:v>
      </x:c>
      <x:c r="C26" s="26"/>
      <x:c r="D26" s="26"/>
      <x:c r="E26" s="26"/>
      <x:c r="F26" s="21" t="str">
        <x:v>confirm currency and scale; SPY raw 120950 decimal rule</x:v>
      </x:c>
    </x:row>
  </x:sheetData>
  <x:pageMargins left="0.7" right="0.7" top="0.75" bottom="0.75" header="0.3" footer="0.3"/>
  <x:tableParts count="3">
    <x:tablePart xmlns:r="http://schemas.openxmlformats.org/officeDocument/2006/relationships" r:id="Rff203e7b4b734272"/>
    <x:tablePart xmlns:r="http://schemas.openxmlformats.org/officeDocument/2006/relationships" r:id="R25b28cffb647407b"/>
    <x:tablePart xmlns:r="http://schemas.openxmlformats.org/officeDocument/2006/relationships" r:id="Ra49d4f12f65d40f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24" hidden="0" customWidth="1"/>
    <x:col min="3" max="3" width="28" hidden="0" customWidth="1"/>
    <x:col min="4" max="4" width="50" hidden="0" customWidth="1"/>
    <x:col min="5" max="5" width="62" hidden="0" customWidth="1"/>
    <x:col min="6" max="6" width="48" hidden="0" customWidth="1"/>
    <x:col min="7" max="7" width="38" hidden="0" customWidth="1"/>
  </x:cols>
  <x:sheetData>
    <x:row r="1" ht="34" customHeight="1">
      <x:c r="A1" s="12" t="str">
        <x:v>requirement_id</x:v>
      </x:c>
      <x:c r="B1" s="13" t="str">
        <x:v>authority</x:v>
      </x:c>
      <x:c r="C1" s="13" t="str">
        <x:v>source_locator</x:v>
      </x:c>
      <x:c r="D1" s="13" t="str">
        <x:v>requirement</x:v>
      </x:c>
      <x:c r="E1" s="13" t="str">
        <x:v>implementation_control</x:v>
      </x:c>
      <x:c r="F1" s="13" t="str">
        <x:v>verification</x:v>
      </x:c>
      <x:c r="G1" s="14" t="str">
        <x:v>status</x:v>
      </x:c>
    </x:row>
    <x:row r="2">
      <x:c r="A2" s="20" t="str">
        <x:v>OBJ-001</x:v>
      </x:c>
      <x:c r="B2" s="20" t="str">
        <x:v>OFFICIAL_PDF</x:v>
      </x:c>
      <x:c r="C2" s="20" t="str">
        <x:v>PDF p4</x:v>
      </x:c>
      <x:c r="D2" s="20" t="str">
        <x:v>국내채권·국내/해외 ETF·공모펀드 자연어 조회·비교·설명</x:v>
      </x:c>
      <x:c r="E2" s="20" t="str">
        <x:v>4-scope lookup/search/filter/rank/compare/aggregate + exact-target grounded explain + evidence/limitation answer; target missing/ambiguous 시 clarification</x:v>
      </x:c>
      <x:c r="F2" s="20" t="str">
        <x:v>GOLD-B01;GOLD-D01;GOLD-O01;GOLD-F01; test_explanation_requires_target_and_uses_exact_product_when_present; test_grounded_product_explanation_uses_raw_strategy_and_requires_target</x:v>
      </x:c>
      <x:c r="G2" s="20" t="str">
        <x:v>IMPLEMENTED_LOCAL_VERIFIED</x:v>
      </x:c>
    </x:row>
    <x:row r="3">
      <x:c r="A3" s="21" t="str">
        <x:v>DATA-001</x:v>
      </x:c>
      <x:c r="B3" s="21" t="str">
        <x:v>OFFICIAL_PDF</x:v>
      </x:c>
      <x:c r="C3" s="21" t="str">
        <x:v>PDF p4</x:v>
      </x:c>
      <x:c r="D3" s="21" t="str">
        <x:v>상품군별 상이한 스키마 구조화</x:v>
      </x:c>
      <x:c r="E3" s="21" t="str">
        <x:v>raw/clean/canonical/serving layer + canonical field 207 + v1 metric policy 59</x:v>
      </x:c>
      <x:c r="F3" s="21" t="str">
        <x:v>source reconcile + schema/header gate + v1 full rebuild</x:v>
      </x:c>
      <x:c r="G3" s="21" t="str">
        <x:v>IMPLEMENTED_LOCAL_VERIFIED</x:v>
      </x:c>
    </x:row>
    <x:row r="4">
      <x:c r="A4" s="21" t="str">
        <x:v>FUNC-001</x:v>
      </x:c>
      <x:c r="B4" s="21" t="str">
        <x:v>OFFICIAL_PDF</x:v>
      </x:c>
      <x:c r="C4" s="21" t="str">
        <x:v>PDF p4</x:v>
      </x:c>
      <x:c r="D4" s="21" t="str">
        <x:v>상품 상세조회</x:v>
      </x:c>
      <x:c r="E4" s="21" t="str">
        <x:v>code/name/alias lookup과 ambiguity policy</x:v>
      </x:c>
      <x:c r="F4" s="21" t="str">
        <x:v>GOLD-B01</x:v>
      </x:c>
      <x:c r="G4" s="21" t="str">
        <x:v>IMPLEMENTED_LOCAL_VERIFIED</x:v>
      </x:c>
    </x:row>
    <x:row r="5">
      <x:c r="A5" s="21" t="str">
        <x:v>FUNC-002</x:v>
      </x:c>
      <x:c r="B5" s="21" t="str">
        <x:v>OFFICIAL_PDF</x:v>
      </x:c>
      <x:c r="C5" s="21" t="str">
        <x:v>PDF p4</x:v>
      </x:c>
      <x:c r="D5" s="21" t="str">
        <x:v>복합 조건 검색·필터</x:v>
      </x:c>
      <x:c r="E5" s="21" t="str">
        <x:v>typed filter_groups + parameterized SQL + scope-specific bounded catalog resolver; 원본 label exact-match; mismatch fail-closed</x:v>
      </x:c>
      <x:c r="F5" s="21" t="str">
        <x:v>GOLD-D03; test_bounded_catalog_value_resolver_uses_scope_specific_source_labels; test_catalog_value_resolver_fails_closed_without_exact_scope_label; test_complex_catalog_filters_execute_with_literal_raw_label_evidence</x:v>
      </x:c>
      <x:c r="G5" s="21" t="str">
        <x:v>IMPLEMENTED_LOCAL_VERIFIED</x:v>
      </x:c>
    </x:row>
    <x:row r="6">
      <x:c r="A6" s="21" t="str">
        <x:v>FUNC-003</x:v>
      </x:c>
      <x:c r="B6" s="21" t="str">
        <x:v>OFFICIAL_PDF</x:v>
      </x:c>
      <x:c r="C6" s="21" t="str">
        <x:v>PDF p4</x:v>
      </x:c>
      <x:c r="D6" s="21" t="str">
        <x:v>필요 계산</x:v>
      </x:c>
      <x:c r="E6" s="21" t="str">
        <x:v>Decimal 계산·formula version·반올림 규칙; filtered latest-date sum/avg/min/max와 evidence/as-of</x:v>
      </x:c>
      <x:c r="F6" s="21" t="str">
        <x:v>GOLD-B05; test_numeric_sum_avg_min_max_use_filtered_latest_date_values</x:v>
      </x:c>
      <x:c r="G6" s="21" t="str">
        <x:v>IMPLEMENTED_LOCAL_VERIFIED</x:v>
      </x:c>
    </x:row>
    <x:row r="7">
      <x:c r="A7" s="21" t="str">
        <x:v>FUNC-004</x:v>
      </x:c>
      <x:c r="B7" s="21" t="str">
        <x:v>OFFICIAL_PDF</x:v>
      </x:c>
      <x:c r="C7" s="21" t="str">
        <x:v>PDF p4</x:v>
      </x:c>
      <x:c r="D7" s="21" t="str">
        <x:v>상품 비교</x:v>
      </x:c>
      <x:c r="E7" s="21" t="str">
        <x:v>Metric Registry comparability gate</x:v>
      </x:c>
      <x:c r="F7" s="21" t="str">
        <x:v>GOLD-X01</x:v>
      </x:c>
      <x:c r="G7" s="21" t="str">
        <x:v>IMPLEMENTED_LOCAL_VERIFIED</x:v>
      </x:c>
    </x:row>
    <x:row r="8">
      <x:c r="A8" s="21" t="str">
        <x:v>FUNC-005</x:v>
      </x:c>
      <x:c r="B8" s="21" t="str">
        <x:v>OFFICIAL_PDF</x:v>
      </x:c>
      <x:c r="C8" s="21" t="str">
        <x:v>PDF p4</x:v>
      </x:c>
      <x:c r="D8" s="21" t="str">
        <x:v>정렬·순위</x:v>
      </x:c>
      <x:c r="E8" s="21" t="str">
        <x:v>v1 metric allow-list·명시 우선순위·다중 metric join/render·각 metric NULL last·secondary missing row 유지·product_uid stable tie-break</x:v>
      </x:c>
      <x:c r="F8" s="21" t="str">
        <x:v>GOLD-D05; test_explicit_priority_reorders_metrics_and_standalone_connector_does_not_bypass; test_secondary_rank_metric_missing_is_retained_and_sorted_last; full pytest 158/158 (104.57s)</x:v>
      </x:c>
      <x:c r="G8" s="21" t="str">
        <x:v>IMPLEMENTED_LOCAL_VERIFIED</x:v>
      </x:c>
    </x:row>
    <x:row r="9">
      <x:c r="A9" s="21" t="str">
        <x:v>FUNC-006</x:v>
      </x:c>
      <x:c r="B9" s="21" t="str">
        <x:v>OFFICIAL_PDF</x:v>
      </x:c>
      <x:c r="C9" s="21" t="str">
        <x:v>PDF p4</x:v>
      </x:c>
      <x:c r="D9" s="21" t="str">
        <x:v>집계</x:v>
      </x:c>
      <x:c r="E9" s="21" t="str">
        <x:v>count/sum/avg/min/max + group_by + distinct product universe + 최신 유효 기준일 + Decimal avg + aggregate evidence/as_of</x:v>
      </x:c>
      <x:c r="F9" s="21" t="str">
        <x:v>GOLD-F03; test_numeric_sum_avg_min_max_use_filtered_latest_date_values</x:v>
      </x:c>
      <x:c r="G9" s="21" t="str">
        <x:v>IMPLEMENTED_LOCAL_VERIFIED</x:v>
      </x:c>
    </x:row>
    <x:row r="10">
      <x:c r="A10" s="21" t="str">
        <x:v>FUNC-007</x:v>
      </x:c>
      <x:c r="B10" s="21" t="str">
        <x:v>OFFICIAL_PDF</x:v>
      </x:c>
      <x:c r="C10" s="21" t="str">
        <x:v>PDF p4</x:v>
      </x:c>
      <x:c r="D10" s="21" t="str">
        <x:v>상품군 교차 질의</x:v>
      </x:c>
      <x:c r="E10" s="21" t="str">
        <x:v>단순 count는 상품군별 distinct universe로 분리 집계·근거화; 지표 compare/rank와 혼합 aggregate는 registry 비교가능성·단위·통화·기간 gate로 fail-closed</x:v>
      </x:c>
      <x:c r="F10" s="21" t="str">
        <x:v>GOLD-X01; test_registry_allows_only_separately_grouped_cross_scope_product_count; test_simple_cross_scope_count_is_grouped_by_scope; test_cross_scope_count_returns_separate_distinct_product_evidence</x:v>
      </x:c>
      <x:c r="G10" s="21" t="str">
        <x:v>IMPLEMENTED_LOCAL_VERIFIED</x:v>
      </x:c>
    </x:row>
    <x:row r="11">
      <x:c r="A11" s="21" t="str">
        <x:v>FUNC-008</x:v>
      </x:c>
      <x:c r="B11" s="21" t="str">
        <x:v>OFFICIAL_PDF</x:v>
      </x:c>
      <x:c r="C11" s="21" t="str">
        <x:v>PDF p4</x:v>
      </x:c>
      <x:c r="D11" s="21" t="str">
        <x:v>질의 의도와 상품유형·복합조건 이해</x:v>
      </x:c>
      <x:c r="E11" s="21" t="str">
        <x:v>HCX typed planner + schema/semantic validator</x:v>
      </x:c>
      <x:c r="F11" s="21" t="str">
        <x:v>QueryPlan contract tests; gold/policy 50/50; plan subset checks 40; declared assertions 103; failures 0</x:v>
      </x:c>
      <x:c r="G11" s="21" t="str">
        <x:v>IMPLEMENTED_MOCK_VERIFIED_LIVE_NOT_RUN</x:v>
      </x:c>
    </x:row>
    <x:row r="12">
      <x:c r="A12" s="21" t="str">
        <x:v>MODEL-001</x:v>
      </x:c>
      <x:c r="B12" s="21" t="str">
        <x:v>OFFICIAL_PDF</x:v>
      </x:c>
      <x:c r="C12" s="21" t="str">
        <x:v>PDF p4</x:v>
      </x:c>
      <x:c r="D12" s="21" t="str">
        <x:v>LLM은 HyperCLOVA X만 사용</x:v>
      </x:c>
      <x:c r="E12" s="21" t="str">
        <x:v>단일 HCX gateway; Codex는 개발 도구로만 사용; 제출·실행 runtime LLM은 HCX-only; HCX-007은 TEAM_DECISION baseline; 다른 LLM dependency·endpoint·fallback 0</x:v>
      </x:c>
      <x:c r="F12" s="21" t="str">
        <x:v>bounded runtime compliance scan 28 files/0 findings + real TCP HCX mock contract; live HCX credential/model endpoint E2E NOT_RUN</x:v>
      </x:c>
      <x:c r="G12" s="21" t="str">
        <x:v>IMPLEMENTED_MOCK_VERIFIED_LIVE_NOT_RUN</x:v>
      </x:c>
    </x:row>
    <x:row r="13">
      <x:c r="A13" s="21" t="str">
        <x:v>MODEL-002</x:v>
      </x:c>
      <x:c r="B13" s="21" t="str">
        <x:v>OFFICIAL_WEB</x:v>
      </x:c>
      <x:c r="C13" s="21" t="str">
        <x:v>FAQ</x:v>
      </x:c>
      <x:c r="D13" s="21" t="str">
        <x:v>임베딩 등 LLM 외 영역 모델 제한 없음</x:v>
      </x:c>
      <x:c r="E13" s="21" t="str">
        <x:v>별도 adapter; MVP에서는 선택 보류</x:v>
      </x:c>
      <x:c r="F13" s="21" t="str">
        <x:v>organizer Aug 6 briefing confirmation WAITING</x:v>
      </x:c>
      <x:c r="G13" s="21" t="str">
        <x:v>WAITING_2026_08_06</x:v>
      </x:c>
    </x:row>
    <x:row r="14">
      <x:c r="A14" s="21" t="str">
        <x:v>SCOPE-001</x:v>
      </x:c>
      <x:c r="B14" s="21" t="str">
        <x:v>OFFICIAL_PDF</x:v>
      </x:c>
      <x:c r="C14" s="21" t="str">
        <x:v>PDF p5</x:v>
      </x:c>
      <x:c r="D14" s="21" t="str">
        <x:v>4개 마스터 총 145,393행</x:v>
      </x:c>
      <x:c r="E14" s="21" t="str">
        <x:v>source hash·행·열·schema fail-closed gate + raw/logical/serving/quarantine reconciliation + serving DB hash</x:v>
      </x:c>
      <x:c r="F14" s="21" t="str">
        <x:v>raw 145393; logical products 60913; serving products 60903; quarantine 10; fund attributes 95618; metric evidence 1156332; DB SHA256 4daab85638b6d6fa1c0f1ebd4070d4050dca57fbfd9aed7e39a8aef2399a1450</x:v>
      </x:c>
      <x:c r="G14" s="21" t="str">
        <x:v>VERIFIED</x:v>
      </x:c>
    </x:row>
    <x:row r="15">
      <x:c r="A15" s="21" t="str">
        <x:v>SCOPE-002</x:v>
      </x:c>
      <x:c r="B15" s="21" t="str">
        <x:v>OFFICIAL_DATA</x:v>
      </x:c>
      <x:c r="C15" s="21" t="str">
        <x:v>ZIP PRFD01N001</x:v>
      </x:c>
      <x:c r="D15" s="21" t="str">
        <x:v>펀드 반복구조를 상품단위로 처리</x:v>
      </x:c>
      <x:c r="E15" s="21" t="str">
        <x:v>full-serving fund product 11138 + fund attribute 95618; raw source values preserved and invalid rows quarantined</x:v>
      </x:c>
      <x:c r="F15" s="21" t="str">
        <x:v>GOLD-F07; data-build reconciliation</x:v>
      </x:c>
      <x:c r="G15" s="21" t="str">
        <x:v>VERIFIED</x:v>
      </x:c>
    </x:row>
    <x:row r="16">
      <x:c r="A16" s="21" t="str">
        <x:v>SCOPE-003</x:v>
      </x:c>
      <x:c r="B16" s="21" t="str">
        <x:v>OFFICIAL_DATA</x:v>
      </x:c>
      <x:c r="C16" s="21" t="str">
        <x:v>ZIP PREF01N001</x:v>
      </x:c>
      <x:c r="D16" s="21" t="str">
        <x:v>국내 master의 ETF·ETN 분리</x:v>
      </x:c>
      <x:c r="E16" s="21" t="str">
        <x:v>internal_type; placeholder quarantine</x:v>
      </x:c>
      <x:c r="F16" s="21" t="str">
        <x:v>GOLD-D01</x:v>
      </x:c>
      <x:c r="G16" s="21" t="str">
        <x:v>VERIFIED</x:v>
      </x:c>
    </x:row>
    <x:row r="17">
      <x:c r="A17" s="21" t="str">
        <x:v>SCOPE-004</x:v>
      </x:c>
      <x:c r="B17" s="21" t="str">
        <x:v>OFFICIAL_DATA</x:v>
      </x:c>
      <x:c r="C17" s="21" t="str">
        <x:v>ZIP PREF02N001</x:v>
      </x:c>
      <x:c r="D17" s="21" t="str">
        <x:v>해외 ISIN을 PK로 사용하지 않음</x:v>
      </x:c>
      <x:c r="E17" s="21" t="str">
        <x:v>pd_itm_no primary key + alias group</x:v>
      </x:c>
      <x:c r="F17" s="21" t="str">
        <x:v>GOLD-O02</x:v>
      </x:c>
      <x:c r="G17" s="21" t="str">
        <x:v>VERIFIED</x:v>
      </x:c>
    </x:row>
    <x:row r="18">
      <x:c r="A18" s="21" t="str">
        <x:v>SCOPE-005</x:v>
      </x:c>
      <x:c r="B18" s="21" t="str">
        <x:v>TEAM_DECISION</x:v>
      </x:c>
      <x:c r="C18" s="21" t="str">
        <x:v>Derived from OFFICIAL_DATA PREF01N001</x:v>
      </x:c>
      <x:c r="D18" s="21" t="str">
        <x:v>국내 ETF 1Y coverage를 source presence·quality validity·공통 최신일 rankability로 구분</x:v>
      </x:c>
      <x:c r="E18" s="21" t="str">
        <x:v>serving ETF 1201 중 source-present 986·quality-valid 951·2026-06-15 common-latest rankable 940; absent/invalid/stale 값을 0으로 대체하지 않고 rank에서 제외</x:v>
      </x:c>
      <x:c r="F18" s="21" t="str">
        <x:v>GOLD-D05 coverage assertions; data-build reconciliation</x:v>
      </x:c>
      <x:c r="G18" s="21" t="str">
        <x:v>VERIFIED</x:v>
      </x:c>
    </x:row>
    <x:row r="19">
      <x:c r="A19" s="21" t="str">
        <x:v>SCOPE-006</x:v>
      </x:c>
      <x:c r="B19" s="21" t="str">
        <x:v>TEAM_DECISION</x:v>
      </x:c>
      <x:c r="C19" s="21" t="str">
        <x:v>Derived from OFFICIAL_DATA PRFD01N001</x:v>
      </x:c>
      <x:c r="D19" s="21" t="str">
        <x:v>공모펀드 full serving universe와 기본 공개 API universe 및 결측 coverage를 구분</x:v>
      </x:c>
      <x:c r="E19" s="21" t="str">
        <x:v>full serving 11138; API default public 11115; public risk valid 8564/missing 2551; public sales active 8445/complete 2670; missing을 0으로 대체하지 않음</x:v>
      </x:c>
      <x:c r="F19" s="21" t="str">
        <x:v>GOLD-F02/F03/F05/F09; data-build reconciliation</x:v>
      </x:c>
      <x:c r="G19" s="21" t="str">
        <x:v>VERIFIED</x:v>
      </x:c>
    </x:row>
    <x:row r="20">
      <x:c r="A20" s="21" t="str">
        <x:v>EXT-001</x:v>
      </x:c>
      <x:c r="B20" s="21" t="str">
        <x:v>OFFICIAL_PDF</x:v>
      </x:c>
      <x:c r="C20" s="21" t="str">
        <x:v>PDF p5</x:v>
      </x:c>
      <x:c r="D20" s="21" t="str">
        <x:v>외부 금융·비정형 데이터 활용 가능</x:v>
      </x:c>
      <x:c r="E20" s="21" t="str">
        <x:v>MVP 보류; 사용 시 source/as-of/conflict 분리</x:v>
      </x:c>
      <x:c r="F20" s="21" t="str">
        <x:v>external-source contract test</x:v>
      </x:c>
      <x:c r="G20" s="21" t="str">
        <x:v>BASELINED</x:v>
      </x:c>
    </x:row>
    <x:row r="21">
      <x:c r="A21" s="21" t="str">
        <x:v>EXT-002</x:v>
      </x:c>
      <x:c r="B21" s="21" t="str">
        <x:v>OFFICIAL_PDF</x:v>
      </x:c>
      <x:c r="C21" s="21" t="str">
        <x:v>PDF p5</x:v>
      </x:c>
      <x:c r="D21" s="21" t="str">
        <x:v>충돌 시 주최 데이터 우선</x:v>
      </x:c>
      <x:c r="E21" s="21" t="str">
        <x:v>organizer source priority in resolver</x:v>
      </x:c>
      <x:c r="F21" s="21" t="str">
        <x:v>conflict fixture</x:v>
      </x:c>
      <x:c r="G21" s="21" t="str">
        <x:v>BASELINED</x:v>
      </x:c>
    </x:row>
    <x:row r="22">
      <x:c r="A22" s="21" t="str">
        <x:v>ANS-001</x:v>
      </x:c>
      <x:c r="B22" s="21" t="str">
        <x:v>OFFICIAL_PDF</x:v>
      </x:c>
      <x:c r="C22" s="21" t="str">
        <x:v>PDF p5</x:v>
      </x:c>
      <x:c r="D22" s="21" t="str">
        <x:v>답변은 데이터 근거 기반</x:v>
      </x:c>
      <x:c r="E22" s="21" t="str">
        <x:v>Evidence Bundle + claim-to-evidence IDs + renderer policy validation; lookup/rank/aggregate/explain와 다중 metric의 모든 factual claim을 exact evidence에 결속</x:v>
      </x:c>
      <x:c r="F22" s="21" t="str">
        <x:v>evidence schema tests; test_secondary_rank_metric_missing_is_retained_and_sorted_last; test_grounded_product_explanation_uses_raw_strategy_and_requires_target; gold/policy evidence assertions</x:v>
      </x:c>
      <x:c r="G22" s="21" t="str">
        <x:v>IMPLEMENTED_LOCAL_VERIFIED</x:v>
      </x:c>
    </x:row>
    <x:row r="23">
      <x:c r="A23" s="21" t="str">
        <x:v>ANS-002</x:v>
      </x:c>
      <x:c r="B23" s="21" t="str">
        <x:v>OFFICIAL_PDF</x:v>
      </x:c>
      <x:c r="C23" s="21" t="str">
        <x:v>PDF p5</x:v>
      </x:c>
      <x:c r="D23" s="21" t="str">
        <x:v>참조 데이터 표시</x:v>
      </x:c>
      <x:c r="E23" s="21" t="str">
        <x:v>table/file/sheet/Excel row/field/raw/normalized/unit/as-of</x:v>
      </x:c>
      <x:c r="F23" s="21" t="str">
        <x:v>GOLD evidence assertions</x:v>
      </x:c>
      <x:c r="G23" s="21" t="str">
        <x:v>IMPLEMENTED_LOCAL_VERIFIED</x:v>
      </x:c>
    </x:row>
    <x:row r="24">
      <x:c r="A24" s="21" t="str">
        <x:v>ANS-003</x:v>
      </x:c>
      <x:c r="B24" s="21" t="str">
        <x:v>OFFICIAL_PDF</x:v>
      </x:c>
      <x:c r="C24" s="21" t="str">
        <x:v>PDF p5</x:v>
      </x:c>
      <x:c r="D24" s="21" t="str">
        <x:v>확인 불가 시 명시 또는 조건 역질문</x:v>
      </x:c>
      <x:c r="E24" s="21" t="str">
        <x:v>Answerability Engine + missing slots + scope registry의 실제 usable return period만 제시 + 불가 시 가짜 선택지 없이 실제 대안 표시 + 일반 options 2~4 + catalog product_identity 2~12 + preserved plan/token</x:v>
      </x:c>
      <x:c r="F24" s="21" t="str">
        <x:v>GOLD-O10; test_return_period_options_come_from_usable_scope_registry; test_overseas_missing_return_period_is_unavailable_without_fake_options_or_hcx_call; clarification API E2E</x:v>
      </x:c>
      <x:c r="G24" s="21" t="str">
        <x:v>IMPLEMENTED_LOCAL_VERIFIED</x:v>
      </x:c>
    </x:row>
    <x:row r="25">
      <x:c r="A25" s="21" t="str">
        <x:v>BAN-001</x:v>
      </x:c>
      <x:c r="B25" s="21" t="str">
        <x:v>OFFICIAL_PDF</x:v>
      </x:c>
      <x:c r="C25" s="21" t="str">
        <x:v>PDF p5</x:v>
      </x:c>
      <x:c r="D25" s="21" t="str">
        <x:v>데이터 근거 없는 수익률 전망 금지</x:v>
      </x:c>
      <x:c r="E25" s="21" t="str">
        <x:v>SAFETY_LIMITED response and forecast classifier</x:v>
      </x:c>
      <x:c r="F25" s="21" t="str">
        <x:v>SAFE-01</x:v>
      </x:c>
      <x:c r="G25" s="21" t="str">
        <x:v>IMPLEMENTED_LOCAL_VERIFIED</x:v>
      </x:c>
    </x:row>
    <x:row r="26">
      <x:c r="A26" s="21" t="str">
        <x:v>BAN-002</x:v>
      </x:c>
      <x:c r="B26" s="21" t="str">
        <x:v>OFFICIAL_PDF</x:v>
      </x:c>
      <x:c r="C26" s="21" t="str">
        <x:v>PDF p5</x:v>
      </x:c>
      <x:c r="D26" s="21" t="str">
        <x:v>단정적 투자 추천 금지</x:v>
      </x:c>
      <x:c r="E26" s="21" t="str">
        <x:v>정보형 비교 + limitation; recommendation imperative block</x:v>
      </x:c>
      <x:c r="F26" s="21" t="str">
        <x:v>SAFE-02</x:v>
      </x:c>
      <x:c r="G26" s="21" t="str">
        <x:v>IMPLEMENTED_LOCAL_VERIFIED</x:v>
      </x:c>
    </x:row>
    <x:row r="27">
      <x:c r="A27" s="21" t="str">
        <x:v>BAN-003</x:v>
      </x:c>
      <x:c r="B27" s="21" t="str">
        <x:v>TEAM_DECISION</x:v>
      </x:c>
      <x:c r="C27" s="21" t="str">
        <x:v>Derived from PDF p5</x:v>
      </x:c>
      <x:c r="D27" s="21" t="str">
        <x:v>결측을 0으로 치환하지 않음</x:v>
      </x:c>
      <x:c r="E27" s="21" t="str">
        <x:v>Metric Registry missing/zero policy</x:v>
      </x:c>
      <x:c r="F27" s="21" t="str">
        <x:v>SAFE-03</x:v>
      </x:c>
      <x:c r="G27" s="21" t="str">
        <x:v>IMPLEMENTED_LOCAL_VERIFIED</x:v>
      </x:c>
    </x:row>
    <x:row r="28">
      <x:c r="A28" s="21" t="str">
        <x:v>EVAL-001</x:v>
      </x:c>
      <x:c r="B28" s="21" t="str">
        <x:v>OFFICIAL_PDF</x:v>
      </x:c>
      <x:c r="C28" s="21" t="str">
        <x:v>PDF p6</x:v>
      </x:c>
      <x:c r="D28" s="21" t="str">
        <x:v>평가자가 GET으로 비공개 문제 호출</x:v>
      </x:c>
      <x:c r="E28" s="21" t="str">
        <x:v>GET compatibility adapter; public endpoint deployment는 external gate</x:v>
      </x:c>
      <x:c r="F28" s="21" t="str">
        <x:v>ASGI contract + current-code real HTTP 15/15; public TLS/external-network smoke NOT_RUN</x:v>
      </x:c>
      <x:c r="G28" s="21" t="str">
        <x:v>IMPLEMENTED_LOCAL_PUBLIC_NOT_RUN</x:v>
      </x:c>
    </x:row>
    <x:row r="29">
      <x:c r="A29" s="21" t="str">
        <x:v>EVAL-002</x:v>
      </x:c>
      <x:c r="B29" s="21" t="str">
        <x:v>OFFICIAL_PDF</x:v>
      </x:c>
      <x:c r="C29" s="21" t="str">
        <x:v>PDF p6</x:v>
      </x:c>
      <x:c r="D29" s="21" t="str">
        <x:v>난이도 상·중·하 혼합</x:v>
      </x:c>
      <x:c r="E29" s="21" t="str">
        <x:v>gold taxonomy + blind holdout</x:v>
      </x:c>
      <x:c r="F29" s="21" t="str">
        <x:v>gold coverage report</x:v>
      </x:c>
      <x:c r="G29" s="21" t="str">
        <x:v>BASELINED</x:v>
      </x:c>
    </x:row>
    <x:row r="30">
      <x:c r="A30" s="21" t="str">
        <x:v>EVAL-003</x:v>
      </x:c>
      <x:c r="B30" s="21" t="str">
        <x:v>OFFICIAL_PDF</x:v>
      </x:c>
      <x:c r="C30" s="21" t="str">
        <x:v>PDF p6</x:v>
      </x:c>
      <x:c r="D30" s="21" t="str">
        <x:v>문제정의</x:v>
      </x:c>
      <x:c r="E30" s="21" t="str">
        <x:v>product boundary and failure taxonomy</x:v>
      </x:c>
      <x:c r="F30" s="21" t="str">
        <x:v>proposal section + demo evidence</x:v>
      </x:c>
      <x:c r="G30" s="21" t="str">
        <x:v>BASELINED</x:v>
      </x:c>
    </x:row>
    <x:row r="31">
      <x:c r="A31" s="21" t="str">
        <x:v>EVAL-004</x:v>
      </x:c>
      <x:c r="B31" s="21" t="str">
        <x:v>OFFICIAL_PDF</x:v>
      </x:c>
      <x:c r="C31" s="21" t="str">
        <x:v>PDF p6</x:v>
      </x:c>
      <x:c r="D31" s="21" t="str">
        <x:v>기술완성도·성능</x:v>
      </x:c>
      <x:c r="E31" s="21" t="str">
        <x:v>deterministic engine·readiness·schema/semantic guard; local real-HTTP/load gate; Docker·live HCX·public TLS·release identity는 external gate</x:v>
      </x:c>
      <x:c r="F31" s="21" t="str">
        <x:v>fast 153/153 (14.90s); full pytest 158/158 (104.57s); gold/policy 50/50; plan subset checks 40; declared assertions 103 and failures 0; Ruff 0; bounded runtime compliance 28 files/0 findings; real HTTP 15/15; load 100/100 at concurrency 10 with failures 0 and p95 131.75ms; live HCX/fresh Docker build+restart+image digest/public TLS/Git SHA NOT_RUN; organizer Aug 6 briefing WAITING</x:v>
      </x:c>
      <x:c r="G31" s="21" t="str">
        <x:v>IMPLEMENTED_LOCAL_VERIFIED_EXTERNAL_NOT_RUN</x:v>
      </x:c>
    </x:row>
    <x:row r="32">
      <x:c r="A32" s="21" t="str">
        <x:v>EVAL-005</x:v>
      </x:c>
      <x:c r="B32" s="21" t="str">
        <x:v>OFFICIAL_PDF</x:v>
      </x:c>
      <x:c r="C32" s="21" t="str">
        <x:v>PDF p6</x:v>
      </x:c>
      <x:c r="D32" s="21" t="str">
        <x:v>창의성·확장성</x:v>
      </x:c>
      <x:c r="E32" s="21" t="str">
        <x:v>typed plan·answerability·field provenance</x:v>
      </x:c>
      <x:c r="F32" s="21" t="str">
        <x:v>proposal architecture</x:v>
      </x:c>
      <x:c r="G32" s="21" t="str">
        <x:v>BASELINED</x:v>
      </x:c>
    </x:row>
    <x:row r="33">
      <x:c r="A33" s="21" t="str">
        <x:v>EVAL-006</x:v>
      </x:c>
      <x:c r="B33" s="21" t="str">
        <x:v>OFFICIAL_PDF</x:v>
      </x:c>
      <x:c r="C33" s="21" t="str">
        <x:v>PDF p6</x:v>
      </x:c>
      <x:c r="D33" s="21" t="str">
        <x:v>답변의 정확성·완결성</x:v>
      </x:c>
      <x:c r="E33" s="21" t="str">
        <x:v>product/value/order/evidence/limitation + exact-target explain + multi-metric join/render + aggregate semantics scoring</x:v>
      </x:c>
      <x:c r="F33" s="21" t="str">
        <x:v>gold/policy 50/50; plan subset checks 40; declared assertions 103; failures 0; full pytest 158/158 (104.57s); organizer reference queries WAITING</x:v>
      </x:c>
      <x:c r="G33" s="21" t="str">
        <x:v>BASELINED_LOCAL_VERIFIED_ORGANIZER_WAITING</x:v>
      </x:c>
    </x:row>
    <x:row r="34">
      <x:c r="A34" s="21" t="str">
        <x:v>EVAL-007</x:v>
      </x:c>
      <x:c r="B34" s="21" t="str">
        <x:v>OFFICIAL_PDF</x:v>
      </x:c>
      <x:c r="C34" s="21" t="str">
        <x:v>PDF p6</x:v>
      </x:c>
      <x:c r="D34" s="21" t="str">
        <x:v>현업 활용성·리스크 관리</x:v>
      </x:c>
      <x:c r="E34" s="21" t="str">
        <x:v>coverage·raw/serving universe·as-of·missing/zero·unusable/outlier·unit/currency/horizon·cross-scope·registry period availability·bounded catalog·real-time·추천/전망 controls</x:v>
      </x:c>
      <x:c r="F34" s="21" t="str">
        <x:v>safety/policy fixtures + cross-scope count·return-period·catalog·grounded-explain tests; bounded runtime compliance 28/0; real HTTP 15/15; load 100/100·concurrency 10·failures 0·p95 131.75ms; live HCX/public TLS/uptime NOT_RUN</x:v>
      </x:c>
      <x:c r="G34" s="21" t="str">
        <x:v>BASELINED_LOCAL_VERIFIED_EXTERNAL_NOT_RUN</x:v>
      </x:c>
    </x:row>
    <x:row r="35">
      <x:c r="A35" s="21" t="str">
        <x:v>SUB-001</x:v>
      </x:c>
      <x:c r="B35" s="21" t="str">
        <x:v>OFFICIAL_PDF</x:v>
      </x:c>
      <x:c r="C35" s="21" t="str">
        <x:v>PDF p7</x:v>
      </x:c>
      <x:c r="D35" s="21" t="str">
        <x:v>소스와 재현 가능한 환경·README</x:v>
      </x:c>
      <x:c r="E35" s="21" t="str">
        <x:v>multi-stage Dockerfile(builder: source verify·full ETL·compliance; runtime: minimal requirements + app·registry·verified DuckDB only) + pinned requirements + Makefile + README</x:v>
      </x:c>
      <x:c r="F35" s="21" t="str">
        <x:v>v1 clean ETL pass; requirements-runtime pinned subset 검증 통과; runtime image의 raw source·ETL 제외는 Dockerfile 정적검토 완료; fresh Docker build/run/restart/image digest NOT_RUN</x:v>
      </x:c>
      <x:c r="G35" s="21" t="str">
        <x:v>IMPLEMENTED_DOCKER_STATIC_VERIFIED_RUNTIME_NOT_RUN</x:v>
      </x:c>
    </x:row>
    <x:row r="36">
      <x:c r="A36" s="21" t="str">
        <x:v>SUB-002</x:v>
      </x:c>
      <x:c r="B36" s="21" t="str">
        <x:v>OFFICIAL_PDF</x:v>
      </x:c>
      <x:c r="C36" s="21" t="str">
        <x:v>PDF p7</x:v>
      </x:c>
      <x:c r="D36" s="21" t="str">
        <x:v>기술제안서 필수 항목</x:v>
      </x:c>
      <x:c r="E36" s="21" t="str">
        <x:v>summary/problem/method/architecture/flow/scenario/impact</x:v>
      </x:c>
      <x:c r="F36" s="21" t="str">
        <x:v>docs/12_TECHNICAL_PROPOSAL_DRAFT.md</x:v>
      </x:c>
      <x:c r="G36" s="21" t="str">
        <x:v>DRAFT_ONLY_NOT_SUBMISSION_FINAL</x:v>
      </x:c>
    </x:row>
    <x:row r="37">
      <x:c r="A37" s="21" t="str">
        <x:v>SUB-003</x:v>
      </x:c>
      <x:c r="B37" s="21" t="str">
        <x:v>OFFICIAL_PDF</x:v>
      </x:c>
      <x:c r="C37" s="21" t="str">
        <x:v>PDF p7</x:v>
      </x:c>
      <x:c r="D37" s="21" t="str">
        <x:v>endpoint URL과 요청·응답 JSON 명세</x:v>
      </x:c>
      <x:c r="E37" s="21" t="str">
        <x:v>OpenAPI + request/response schemas + optional clarification dependent pair</x:v>
      </x:c>
      <x:c r="F37" s="21" t="str">
        <x:v>OpenAPI/JSON Schema/ASGI contract + current-code real HTTP 15/15; organizer final contract WAITING; public URL/TLS NOT_RUN</x:v>
      </x:c>
      <x:c r="G37" s="21" t="str">
        <x:v>IMPLEMENTED_LOCAL_PUBLIC_URL_NOT_RUN</x:v>
      </x:c>
    </x:row>
    <x:row r="38">
      <x:c r="A38" s="21" t="str">
        <x:v>OPS-001</x:v>
      </x:c>
      <x:c r="B38" s="21" t="str">
        <x:v>OFFICIAL_PDF</x:v>
      </x:c>
      <x:c r="C38" s="21" t="str">
        <x:v>PDF p7</x:v>
      </x:c>
      <x:c r="D38" s="21" t="str">
        <x:v>Public 망 통신 가능</x:v>
      </x:c>
      <x:c r="E38" s="21" t="str">
        <x:v>TLS public deployment</x:v>
      </x:c>
      <x:c r="F38" s="21" t="str">
        <x:v>public TLS/external-network smoke NOT_RUN</x:v>
      </x:c>
      <x:c r="G38" s="21" t="str">
        <x:v>NOT_RUN</x:v>
      </x:c>
    </x:row>
    <x:row r="39">
      <x:c r="A39" s="21" t="str">
        <x:v>OPS-002</x:v>
      </x:c>
      <x:c r="B39" s="21" t="str">
        <x:v>OFFICIAL_PDF</x:v>
      </x:c>
      <x:c r="C39" s="21" t="str">
        <x:v>PDF p7</x:v>
      </x:c>
      <x:c r="D39" s="21" t="str">
        <x:v>09.07~09.20 API 활성화; 변경 공지 가능</x:v>
      </x:c>
      <x:c r="E39" s="21" t="str">
        <x:v>동일 release 유지; 내부 09.30까지 운영</x:v>
      </x:c>
      <x:c r="F39" s="21" t="str">
        <x:v>organizer Aug 6 briefing confirmation WAITING</x:v>
      </x:c>
      <x:c r="G39" s="21" t="str">
        <x:v>WAITING_2026_08_06</x:v>
      </x:c>
    </x:row>
    <x:row r="40">
      <x:c r="A40" s="21" t="str">
        <x:v>OPS-003</x:v>
      </x:c>
      <x:c r="B40" s="21" t="str">
        <x:v>OFFICIAL_PDF</x:v>
      </x:c>
      <x:c r="C40" s="21" t="str">
        <x:v>PDF p7</x:v>
      </x:c>
      <x:c r="D40" s="21" t="str">
        <x:v>NCP 크레딧 초과비용 미보전</x:v>
      </x:c>
      <x:c r="E40" s="21" t="str">
        <x:v>budget alarm and concurrency/token cap</x:v>
      </x:c>
      <x:c r="F40" s="21" t="str">
        <x:v>credit drill</x:v>
      </x:c>
      <x:c r="G40" s="21" t="str">
        <x:v>BASELINED</x:v>
      </x:c>
    </x:row>
    <x:row r="41">
      <x:c r="A41" s="21" t="str">
        <x:v>DEADLINE-001</x:v>
      </x:c>
      <x:c r="B41" s="21" t="str">
        <x:v>OFFICIAL_PDF+OFFICIAL_WEB</x:v>
      </x:c>
      <x:c r="C41" s="21" t="str">
        <x:v>PDF p7 + homepage</x:v>
      </x:c>
      <x:c r="D41" s="21" t="str">
        <x:v>마감 09.06; 공개 홈페이지 23:59 보완</x:v>
      </x:c>
      <x:c r="E41" s="21" t="str">
        <x:v>09.05 internal freeze</x:v>
      </x:c>
      <x:c r="F41" s="21" t="str">
        <x:v>submission checklist</x:v>
      </x:c>
      <x:c r="G41" s="21" t="str">
        <x:v>BASELINED</x:v>
      </x:c>
    </x:row>
    <x:row r="42">
      <x:c r="A42" s="21" t="str">
        <x:v>BAN-004</x:v>
      </x:c>
      <x:c r="B42" s="21" t="str">
        <x:v>OFFICIAL_PDF</x:v>
      </x:c>
      <x:c r="C42" s="21" t="str">
        <x:v>PDF p7</x:v>
      </x:c>
      <x:c r="D42" s="21" t="str">
        <x:v>마감 후 commit/push/deploy 등 변경 시 실격</x:v>
      </x:c>
      <x:c r="E42" s="21" t="str">
        <x:v>immutable image digest + freeze runbook + release manifest generator; explicit serving DB artifact hash/readiness; empty/non-DuckDB/test-count mismatch 차단; FINAL은 real Git SHA·image digest·external gates 요구</x:v>
      </x:c>
      <x:c r="F42" s="21" t="str">
        <x:v>DRAFT manifest only; full pytest 158/158; serving DB SHA256 4daab85638b6d6fa1c0f1ebd4070d4050dca57fbfd9aed7e39a8aef2399a1450; FINAL immutable-image DB extraction·Git SHA·fresh Docker/restart·image digest·live HCX·public TLS NOT_RUN</x:v>
      </x:c>
      <x:c r="G42" s="21" t="str">
        <x:v>IMPLEMENTED_VALID_DRAFT_FINAL_NOT_RUN</x:v>
      </x:c>
    </x:row>
    <x:row r="43">
      <x:c r="A43" s="21" t="str">
        <x:v>API-001</x:v>
      </x:c>
      <x:c r="B43" s="21" t="str">
        <x:v>PDF_EXAMPLE</x:v>
      </x:c>
      <x:c r="C43" s="21" t="str">
        <x:v>PDF p7</x:v>
      </x:c>
      <x:c r="D43" s="21" t="str">
        <x:v>/answer + question_id/question + 5 response fields는 예시</x:v>
      </x:c>
      <x:c r="E43" s="21" t="str">
        <x:v>교체 가능한 provisional adapter; TEAM_DECISION clarification_token/response must co-occur</x:v>
      </x:c>
      <x:c r="F43" s="21" t="str">
        <x:v>organizer Aug 6 briefing contract diff WAITING</x:v>
      </x:c>
      <x:c r="G43" s="21" t="str">
        <x:v>WAITING_2026_08_06</x:v>
      </x:c>
    </x:row>
    <x:row r="44">
      <x:c r="A44" s="21" t="str">
        <x:v>MEET-001</x:v>
      </x:c>
      <x:c r="B44" s="21" t="str">
        <x:v>OFFICIAL_TEAM_EMAIL</x:v>
      </x:c>
      <x:c r="C44" s="21" t="str">
        <x:v>team email</x:v>
      </x:c>
      <x:c r="D44" s="21" t="str">
        <x:v>금융상품 Agent 08.06 13:00~14:30</x:v>
      </x:c>
      <x:c r="E44" s="21" t="str">
        <x:v>정확히 1인·Green Factory 2F·대중교통</x:v>
      </x:c>
      <x:c r="F44" s="21" t="str">
        <x:v>attendance checklist</x:v>
      </x:c>
      <x:c r="G44" s="21" t="str">
        <x:v>WAITING_2026_08_06</x:v>
      </x:c>
    </x:row>
    <x:row r="45">
      <x:c r="A45" s="21" t="str">
        <x:v>MEET-002</x:v>
      </x:c>
      <x:c r="B45" s="21" t="str">
        <x:v>OFFICIAL_TEAM_EMAIL</x:v>
      </x:c>
      <x:c r="C45" s="21" t="str">
        <x:v>team email</x:v>
      </x:c>
      <x:c r="D45" s="21" t="str">
        <x:v>네이버 1784가 아니라 Green Factory</x:v>
      </x:c>
      <x:c r="E45" s="21" t="str">
        <x:v>주소 경기도 성남시 분당구 불정로 6</x:v>
      </x:c>
      <x:c r="F45" s="21" t="str">
        <x:v>attendance checklist</x:v>
      </x:c>
      <x:c r="G45" s="21" t="str">
        <x:v>WAITING_2026_08_06</x:v>
      </x:c>
    </x:row>
    <x:row r="46">
      <x:c r="A46" s="21" t="str">
        <x:v>CLAR-001</x:v>
      </x:c>
      <x:c r="B46" s="21" t="str">
        <x:v>OFFICIAL_PDF</x:v>
      </x:c>
      <x:c r="C46" s="21" t="str">
        <x:v>PDF p4</x:v>
      </x:c>
      <x:c r="D46" s="21" t="str">
        <x:v>정보 부족 시 확인이 필요한 조건을 역질문</x:v>
      </x:c>
      <x:c r="E46" s="21" t="str">
        <x:v>missing_slots + 일반 options 2~4 + registry-backed usable return-period options + 가짜 기간 선택지 금지 + server catalog identity options 2~12 + preserved plan + signed token + follow-up</x:v>
      </x:c>
      <x:c r="F46" s="21" t="str">
        <x:v>test_return_period_options_come_from_usable_scope_registry; test_overseas_missing_return_period_is_unavailable_without_fake_options_or_hcx_call; test_reverse_question_has_slots_options_preserved_plan_and_follow_up_token; real HTTP 15/15</x:v>
      </x:c>
      <x:c r="G46" s="21" t="str">
        <x:v>IMPLEMENTED_LOCAL_VERIFIED</x:v>
      </x:c>
    </x:row>
    <x:row r="47">
      <x:c r="A47" s="21" t="str">
        <x:v>OPS-004</x:v>
      </x:c>
      <x:c r="B47" s="21" t="str">
        <x:v>TEAM_DECISION</x:v>
      </x:c>
      <x:c r="C47" s="21" t="str">
        <x:v>Derived from GET evaluation</x:v>
      </x:c>
      <x:c r="D47" s="21" t="str">
        <x:v>비공개 평가 질문이 GET URL 로그에 남지 않도록 통제</x:v>
      </x:c>
      <x:c r="E47" s="21" t="str">
        <x:v>uvicorn --no-access-log + no-store</x:v>
      </x:c>
      <x:c r="F47" s="21" t="str">
        <x:v>API no-store header contract + runtime command static check; fresh Docker/reverse-proxy access-log audit NOT_RUN</x:v>
      </x:c>
      <x:c r="G47" s="21" t="str">
        <x:v>IMPLEMENTED_STATIC_VERIFIED_DOCKER_AUDIT_NOT_RUN</x:v>
      </x:c>
    </x:row>
  </x:sheetData>
  <x:conditionalFormatting sqref="G2:G47">
    <x:cfRule type="containsText" dxfId="4" priority="1" operator="containsText" text="IMPLEMENTED"/>
    <x:cfRule type="containsText" dxfId="5" priority="2" operator="containsText" text="OPEN"/>
    <x:cfRule type="containsText" dxfId="6" priority="3" operator="containsText" text="PENDING"/>
  </x:conditionalFormatting>
  <x:pageMargins left="0.7" right="0.7" top="0.75" bottom="0.75" header="0.3" footer="0.3"/>
  <x:tableParts count="1">
    <x:tablePart xmlns:r="http://schemas.openxmlformats.org/officeDocument/2006/relationships" r:id="R813162739863447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48" hidden="0" customWidth="1"/>
    <x:col min="4" max="4" width="30" hidden="0" customWidth="1"/>
    <x:col min="5" max="5" width="62" hidden="0" customWidth="1"/>
    <x:col min="6" max="6" width="52" hidden="0" customWidth="1"/>
    <x:col min="7" max="7" width="24" hidden="0" customWidth="1"/>
  </x:cols>
  <x:sheetData>
    <x:row r="1" ht="34" customHeight="1">
      <x:c r="A1" s="12" t="str">
        <x:v>priority</x:v>
      </x:c>
      <x:c r="B1" s="13" t="str">
        <x:v>area</x:v>
      </x:c>
      <x:c r="C1" s="13" t="str">
        <x:v>risk</x:v>
      </x:c>
      <x:c r="D1" s="13" t="str">
        <x:v>impact</x:v>
      </x:c>
      <x:c r="E1" s="13" t="str">
        <x:v>current_control</x:v>
      </x:c>
      <x:c r="F1" s="13" t="str">
        <x:v>next_action</x:v>
      </x:c>
      <x:c r="G1" s="14" t="str">
        <x:v>status</x:v>
      </x:c>
    </x:row>
    <x:row r="2">
      <x:c r="A2" s="20" t="str">
        <x:v>P0</x:v>
      </x:c>
      <x:c r="B2" s="20" t="str">
        <x:v>공모펀드</x:v>
      </x:c>
      <x:c r="C2" s="20" t="str">
        <x:v>95,619 raw 속성행을 상품 수로 오인</x:v>
      </x:c>
      <x:c r="D2" s="20" t="str">
        <x:v>집계 전면 오류</x:v>
      </x:c>
      <x:c r="E2" s="20" t="str">
        <x:v>itm_no 기준 논리상품 11,139; 속성 95,618 serving 분리</x:v>
      </x:c>
      <x:c r="F2" s="20" t="str">
        <x:v>항상 count basis를 근거에 표시</x:v>
      </x:c>
      <x:c r="G2" s="20" t="str">
        <x:v>CONTROLLED</x:v>
      </x:c>
    </x:row>
    <x:row r="3">
      <x:c r="A3" s="21" t="str">
        <x:v>P0</x:v>
      </x:c>
      <x:c r="B3" s="21" t="str">
        <x:v>데이터 품질</x:v>
      </x:c>
      <x:c r="C3" s="21" t="str">
        <x:v>placeholder/손상행 10개</x:v>
      </x:c>
      <x:c r="D3" s="21" t="str">
        <x:v>검색·순위 오염</x:v>
      </x:c>
      <x:c r="E3" s="21" t="str">
        <x:v>국내 1·해외 8·펀드 1 quarantine</x:v>
      </x:c>
      <x:c r="F3" s="21" t="str">
        <x:v>최종 DB·manifest에서 동일 수 검증</x:v>
      </x:c>
      <x:c r="G3" s="21" t="str">
        <x:v>CONTROLLED</x:v>
      </x:c>
    </x:row>
    <x:row r="4">
      <x:c r="A4" s="21" t="str">
        <x:v>P0</x:v>
      </x:c>
      <x:c r="B4" s="21" t="str">
        <x:v>근거</x:v>
      </x:c>
      <x:c r="C4" s="21" t="str">
        <x:v>원본 셀과 정규화 값 혼동</x:v>
      </x:c>
      <x:c r="D4" s="21" t="str">
        <x:v>허위 근거</x:v>
      </x:c>
      <x:c r="E4" s="21" t="str">
        <x:v>raw_value·normalized_value·source row 분리</x:v>
      </x:c>
      <x:c r="F4" s="21" t="str">
        <x:v>대표 원본 공백 보존 테스트 유지</x:v>
      </x:c>
      <x:c r="G4" s="21" t="str">
        <x:v>CONTROLLED</x:v>
      </x:c>
    </x:row>
    <x:row r="5">
      <x:c r="A5" s="21" t="str">
        <x:v>P0</x:v>
      </x:c>
      <x:c r="B5" s="21" t="str">
        <x:v>안전</x:v>
      </x:c>
      <x:c r="C5" s="21" t="str">
        <x:v>예측·단정 추천·결측 0 치환</x:v>
      </x:c>
      <x:c r="D5" s="21" t="str">
        <x:v>공식 금지 위반</x:v>
      </x:c>
      <x:c r="E5" s="21" t="str">
        <x:v>사전 정책 차단·renderer 후검증</x:v>
      </x:c>
      <x:c r="F5" s="21" t="str">
        <x:v>골드/정책 회귀 테스트 유지</x:v>
      </x:c>
      <x:c r="G5" s="21" t="str">
        <x:v>CONTROLLED</x:v>
      </x:c>
    </x:row>
    <x:row r="6">
      <x:c r="A6" s="21" t="str">
        <x:v>P0</x:v>
      </x:c>
      <x:c r="B6" s="21" t="str">
        <x:v>LLM</x:v>
      </x:c>
      <x:c r="C6" s="21" t="str">
        <x:v>HCX 외 LLM 또는 fallback 사용</x:v>
      </x:c>
      <x:c r="D6" s="21" t="str">
        <x:v>평가 제외</x:v>
      </x:c>
      <x:c r="E6" s="21" t="str">
        <x:v>HCX 전용 adapter·현재 28개 runtime 파일 blacklist scan 0건·fallback 없음</x:v>
      </x:c>
      <x:c r="F6" s="21" t="str">
        <x:v>실환경 dependency/image를 별도 재스캔</x:v>
      </x:c>
      <x:c r="G6" s="21" t="str">
        <x:v>LOCAL_VERIFIED</x:v>
      </x:c>
    </x:row>
    <x:row r="7">
      <x:c r="A7" s="21" t="str">
        <x:v>P0</x:v>
      </x:c>
      <x:c r="B7" s="21" t="str">
        <x:v>배포</x:v>
      </x:c>
      <x:c r="C7" s="21" t="str">
        <x:v>마감 후 결과 변경</x:v>
      </x:c>
      <x:c r="D7" s="21" t="str">
        <x:v>실격</x:v>
      </x:c>
      <x:c r="E7" s="21" t="str">
        <x:v>내부 9/5 freeze·외부 final manifest</x:v>
      </x:c>
      <x:c r="F7" s="21" t="str">
        <x:v>Git SHA·image digest 확정 후 서명</x:v>
      </x:c>
      <x:c r="G7" s="21" t="str">
        <x:v>EXTERNAL_GATE</x:v>
      </x:c>
    </x:row>
    <x:row r="8">
      <x:c r="A8" s="21" t="str">
        <x:v>P1</x:v>
      </x:c>
      <x:c r="B8" s="21" t="str">
        <x:v>국내 ETP</x:v>
      </x:c>
      <x:c r="C8" s="21" t="str">
        <x:v>총보수 0의 의미 미확정</x:v>
      </x:c>
      <x:c r="D8" s="21" t="str">
        <x:v>낮은 보수 순위 왜곡</x:v>
      </x:c>
      <x:c r="E8" s="21" t="str">
        <x:v>PENDING_ZERO_POLICY 차단</x:v>
      </x:c>
      <x:c r="F8" s="21" t="str">
        <x:v>설명회에 0 의미·단위 질문</x:v>
      </x:c>
      <x:c r="G8" s="21" t="str">
        <x:v>OPEN</x:v>
      </x:c>
    </x:row>
    <x:row r="9">
      <x:c r="A9" s="21" t="str">
        <x:v>P1</x:v>
      </x:c>
      <x:c r="B9" s="21" t="str">
        <x:v>국내 ETP</x:v>
      </x:c>
      <x:c r="C9" s="21" t="str">
        <x:v>1Y 값 존재 986·품질유효 951·동일 최신일 rankable 940 혼동</x:v>
      </x:c>
      <x:c r="D9" s="21" t="str">
        <x:v>coverage·순위 오답</x:v>
      </x:c>
      <x:c r="E9" s="21" t="str">
        <x:v>세 분모를 evidence에 분리하고 2026-06-15 공통 최신일 적용</x:v>
      </x:c>
      <x:c r="F9" s="21" t="str">
        <x:v>평가 기준일 정책 확인</x:v>
      </x:c>
      <x:c r="G9" s="21" t="str">
        <x:v>CONTROLLED</x:v>
      </x:c>
    </x:row>
    <x:row r="10">
      <x:c r="A10" s="21" t="str">
        <x:v>P1</x:v>
      </x:c>
      <x:c r="B10" s="21" t="str">
        <x:v>해외 ETP</x:v>
      </x:c>
      <x:c r="C10" s="21" t="str">
        <x:v>1일 수익률 5,329개가 모두 0</x:v>
      </x:c>
      <x:c r="D10" s="21" t="str">
        <x:v>무의미 순위</x:v>
      </x:c>
      <x:c r="E10" s="21" t="str">
        <x:v>UNUSABLE_CONSTANT 차단</x:v>
      </x:c>
      <x:c r="F10" s="21" t="str">
        <x:v>평가 기준에서 해당 질의 처리 확인</x:v>
      </x:c>
      <x:c r="G10" s="21" t="str">
        <x:v>OPEN</x:v>
      </x:c>
    </x:row>
    <x:row r="11">
      <x:c r="A11" s="21" t="str">
        <x:v>P1</x:v>
      </x:c>
      <x:c r="B11" s="21" t="str">
        <x:v>해외 ETP</x:v>
      </x:c>
      <x:c r="C11" s="21" t="str">
        <x:v>AUM 단위·통화 환산 기준 미확정</x:v>
      </x:c>
      <x:c r="D11" s="21" t="str">
        <x:v>교차상품 순위 오류</x:v>
      </x:c>
      <x:c r="E11" s="21" t="str">
        <x:v>동일 통화 필터만 허용; 교차 AUM 차단</x:v>
      </x:c>
      <x:c r="F11" s="21" t="str">
        <x:v>단위·환율 기준 질문</x:v>
      </x:c>
      <x:c r="G11" s="21" t="str">
        <x:v>OPEN</x:v>
      </x:c>
    </x:row>
    <x:row r="12">
      <x:c r="A12" s="21" t="str">
        <x:v>P1</x:v>
      </x:c>
      <x:c r="B12" s="21" t="str">
        <x:v>해외 ETP</x:v>
      </x:c>
      <x:c r="C12" s="21" t="str">
        <x:v>종가 decimal/scale 규칙 미확정(SPY 원문 120950)</x:v>
      </x:c>
      <x:c r="D12" s="21" t="str">
        <x:v>가격 표시 오류</x:v>
      </x:c>
      <x:c r="E12" s="21" t="str">
        <x:v>원문 보존·이상치 경고·통화 표시</x:v>
      </x:c>
      <x:c r="F12" s="21" t="str">
        <x:v>schema sample과 실제 scale 규칙 확인</x:v>
      </x:c>
      <x:c r="G12" s="21" t="str">
        <x:v>OPEN</x:v>
      </x:c>
    </x:row>
    <x:row r="13">
      <x:c r="A13" s="21" t="str">
        <x:v>P1</x:v>
      </x:c>
      <x:c r="B13" s="21" t="str">
        <x:v>공모펀드</x:v>
      </x:c>
      <x:c r="C13" s="21" t="str">
        <x:v>보수 필드 없음</x:v>
      </x:c>
      <x:c r="D13" s="21" t="str">
        <x:v>질의 대응 불가</x:v>
      </x:c>
      <x:c r="E13" s="21" t="str">
        <x:v>SOURCE_FIELD_ABSENT로 확인불가</x:v>
      </x:c>
      <x:c r="F13" s="21" t="str">
        <x:v>외부 데이터 허용·평가 우선순위 확인</x:v>
      </x:c>
      <x:c r="G13" s="21" t="str">
        <x:v>OPEN</x:v>
      </x:c>
    </x:row>
    <x:row r="14">
      <x:c r="A14" s="21" t="str">
        <x:v>P1</x:v>
      </x:c>
      <x:c r="B14" s="21" t="str">
        <x:v>식별자</x:v>
      </x:c>
      <x:c r="C14" s="21" t="str">
        <x:v>해외 ISIN 50 중복행·9 결측</x:v>
      </x:c>
      <x:c r="D14" s="21" t="str">
        <x:v>잘못된 상품 연결</x:v>
      </x:c>
      <x:c r="E14" s="21" t="str">
        <x:v>ISIN은 alias; ticker/내부코드 우선</x:v>
      </x:c>
      <x:c r="F14" s="21" t="str">
        <x:v>동명이상품 후보 역질문 유지</x:v>
      </x:c>
      <x:c r="G14" s="21" t="str">
        <x:v>CONTROLLED</x:v>
      </x:c>
    </x:row>
    <x:row r="15">
      <x:c r="A15" s="21" t="str">
        <x:v>P1</x:v>
      </x:c>
      <x:c r="B15" s="21" t="str">
        <x:v>API</x:v>
      </x:c>
      <x:c r="C15" s="21" t="str">
        <x:v>PDF의 GET/5필드는 예시</x:v>
      </x:c>
      <x:c r="D15" s="21" t="str">
        <x:v>최종 평가기 불일치</x:v>
      </x:c>
      <x:c r="E15" s="21" t="str">
        <x:v>provisional adapter·contract diff</x:v>
      </x:c>
      <x:c r="F15" s="21" t="str">
        <x:v>설명회 스키마를 즉시 반영</x:v>
      </x:c>
      <x:c r="G15" s="21" t="str">
        <x:v>OPEN</x:v>
      </x:c>
    </x:row>
    <x:row r="16">
      <x:c r="A16" s="21" t="str">
        <x:v>P1</x:v>
      </x:c>
      <x:c r="B16" s="21" t="str">
        <x:v>공모펀드</x:v>
      </x:c>
      <x:c r="C16" s="21" t="str">
        <x:v>전체 11,138과 API 기본 공모 11,115 혼동</x:v>
      </x:c>
      <x:c r="D16" s="21" t="str">
        <x:v>사모 혼입·집계 오답</x:v>
      </x:c>
      <x:c r="E16" s="21" t="str">
        <x:v>일반 요청은 공모 기본, 명시적 사모·raw 감사만 opt-in</x:v>
      </x:c>
      <x:c r="F16" s="21" t="str">
        <x:v>평가의 기본 universe 확인</x:v>
      </x:c>
      <x:c r="G16" s="21" t="str">
        <x:v>CONTROLLED</x:v>
      </x:c>
    </x:row>
    <x:row r="17">
      <x:c r="A17" s="21" t="str">
        <x:v>P1</x:v>
      </x:c>
      <x:c r="B17" s="21" t="str">
        <x:v>HCX</x:v>
      </x:c>
      <x:c r="C17" s="21" t="str">
        <x:v>공식 Structured Outputs는 HCX-007을 지원하지만 대회 최종 model/quota는 미확정</x:v>
      </x:c>
      <x:c r="D17" s="21" t="str">
        <x:v>실호출·용량 실패 가능</x:v>
      </x:c>
      <x:c r="E17" s="21" t="str">
        <x:v>HCX-007 schema adapter·QPM/TPM·deadline·retry mock 검증</x:v>
      </x:c>
      <x:c r="F17" s="21" t="str">
        <x:v>주최 model ID와 실제 응답 header 확인</x:v>
      </x:c>
      <x:c r="G17" s="21" t="str">
        <x:v>OPEN</x:v>
      </x:c>
    </x:row>
    <x:row r="18">
      <x:c r="A18" s="21" t="str">
        <x:v>P2</x:v>
      </x:c>
      <x:c r="B18" s="21" t="str">
        <x:v>설명</x:v>
      </x:c>
      <x:c r="C18" s="21" t="str">
        <x:v>대상 없는 일반 금융용어 설명이 데이터 근거 범위를 벗어날 수 있음</x:v>
      </x:c>
      <x:c r="D18" s="21" t="str">
        <x:v>환각·범위 확장</x:v>
      </x:c>
      <x:c r="E18" s="21" t="str">
        <x:v>정확 상품명·코드를 역질문한 뒤 원본 전략·벤치마크·운용사만 설명</x:v>
      </x:c>
      <x:c r="F18" s="21" t="str">
        <x:v>설명회에서 상품 설명과 용어 설명의 기대 범위 확인</x:v>
      </x:c>
      <x:c r="G18" s="21" t="str">
        <x:v>CONTROLLED</x:v>
      </x:c>
    </x:row>
  </x:sheetData>
  <x:conditionalFormatting sqref="G2:G18">
    <x:cfRule type="containsText" dxfId="7" priority="1" operator="containsText" text="CONTROLLED"/>
    <x:cfRule type="containsText" dxfId="8" priority="2" operator="containsText" text="OPEN"/>
    <x:cfRule type="containsText" dxfId="9" priority="3" operator="containsText" text="NOT_IMPLEMENTED"/>
  </x:conditionalFormatting>
  <x:pageMargins left="0.7" right="0.7" top="0.75" bottom="0.75" header="0.3" footer="0.3"/>
  <x:tableParts count="1">
    <x:tablePart xmlns:r="http://schemas.openxmlformats.org/officeDocument/2006/relationships" r:id="Rf41867cae5b54fed"/>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2" hidden="0" customWidth="1"/>
    <x:col min="2" max="2" width="74" hidden="0" customWidth="1"/>
    <x:col min="3" max="3" width="34" hidden="0" customWidth="1"/>
    <x:col min="4" max="4" width="48" hidden="0" customWidth="1"/>
    <x:col min="5" max="5" width="38" hidden="0" customWidth="1"/>
    <x:col min="6" max="6" width="18" hidden="0" customWidth="1"/>
  </x:cols>
  <x:sheetData>
    <x:row r="1" ht="34" customHeight="1">
      <x:c r="A1" s="12" t="str">
        <x:v>priority</x:v>
      </x:c>
      <x:c r="B1" s="13" t="str">
        <x:v>question</x:v>
      </x:c>
      <x:c r="C1" s="13" t="str">
        <x:v>why_it_matters</x:v>
      </x:c>
      <x:c r="D1" s="13" t="str">
        <x:v>current_assumption</x:v>
      </x:c>
      <x:c r="E1" s="13" t="str">
        <x:v>required_update</x:v>
      </x:c>
      <x:c r="F1" s="14" t="str">
        <x:v>status</x:v>
      </x:c>
    </x:row>
    <x:row r="2">
      <x:c r="A2" s="20" t="str">
        <x:v>P0</x:v>
      </x:c>
      <x:c r="B2" s="20" t="str">
        <x:v>평가에서 허용·권장하는 정확한 HyperCLOVA X model ID는? 공식 Structured Outputs 사용이 허용되는가?</x:v>
      </x:c>
      <x:c r="C2" s="20" t="str">
        <x:v>production planner 고정</x:v>
      </x:c>
      <x:c r="D2" s="20" t="str">
        <x:v>공식 현재 문서상 HCX-007 Structured Outputs 지원; 대회 확정은 별도</x:v>
      </x:c>
      <x:c r="E2" s="20" t="str">
        <x:v>config·mock·manifest</x:v>
      </x:c>
      <x:c r="F2" s="20" t="str">
        <x:v>OPEN</x:v>
      </x:c>
    </x:row>
    <x:row r="3">
      <x:c r="A3" s="21" t="str">
        <x:v>P0</x:v>
      </x:c>
      <x:c r="B3" s="21" t="str">
        <x:v>평가 API의 최종 method/path/query/body/응답 필드와 content-type은?</x:v>
      </x:c>
      <x:c r="C3" s="21" t="str">
        <x:v>adapter 계약</x:v>
      </x:c>
      <x:c r="D3" s="21" t="str">
        <x:v>PDF GET /answer와 5개 문자열은 예시</x:v>
      </x:c>
      <x:c r="E3" s="21" t="str">
        <x:v>OpenAPI·contract tests</x:v>
      </x:c>
      <x:c r="F3" s="21" t="str">
        <x:v>OPEN</x:v>
      </x:c>
    </x:row>
    <x:row r="4">
      <x:c r="A4" s="21" t="str">
        <x:v>P0</x:v>
      </x:c>
      <x:c r="B4" s="21" t="str">
        <x:v>역질문은 한 요청에서 질문만 반환하면 되는가, 후속 호출 상태 token을 허용하는가?</x:v>
      </x:c>
      <x:c r="C4" s="21" t="str">
        <x:v>명확화 E2E</x:v>
      </x:c>
      <x:c r="D4" s="21" t="str">
        <x:v>token/response pair는 TEAM_DECISION</x:v>
      </x:c>
      <x:c r="E4" s="21" t="str">
        <x:v>provisional schema·state codec</x:v>
      </x:c>
      <x:c r="F4" s="21" t="str">
        <x:v>OPEN</x:v>
      </x:c>
    </x:row>
    <x:row r="5">
      <x:c r="A5" s="21" t="str">
        <x:v>P0</x:v>
      </x:c>
      <x:c r="B5" s="21" t="str">
        <x:v>API 인증, IP allow-list, TLS 인증서, 포트, public network 조건은?</x:v>
      </x:c>
      <x:c r="C5" s="21" t="str">
        <x:v>평가 연결성</x:v>
      </x:c>
      <x:c r="D5" s="21" t="str">
        <x:v>Public TLS 필요</x:v>
      </x:c>
      <x:c r="E5" s="21" t="str">
        <x:v>deployment runbook</x:v>
      </x:c>
      <x:c r="F5" s="21" t="str">
        <x:v>OPEN</x:v>
      </x:c>
    </x:row>
    <x:row r="6">
      <x:c r="A6" s="21" t="str">
        <x:v>P0</x:v>
      </x:c>
      <x:c r="B6" s="21" t="str">
        <x:v>실제 서버 활성 유지 기간과 변경 공지일은?</x:v>
      </x:c>
      <x:c r="C6" s="21" t="str">
        <x:v>운영</x:v>
      </x:c>
      <x:c r="D6" s="21" t="str">
        <x:v>PDF 09.07-09.20 예정</x:v>
      </x:c>
      <x:c r="E6" s="21" t="str">
        <x:v>on-call·freeze 계획</x:v>
      </x:c>
      <x:c r="F6" s="21" t="str">
        <x:v>OPEN</x:v>
      </x:c>
    </x:row>
    <x:row r="7">
      <x:c r="A7" s="21" t="str">
        <x:v>P0</x:v>
      </x:c>
      <x:c r="B7" s="21" t="str">
        <x:v>요청 timeout, 재시도 횟수, 동시성, rate limit, 최대 응답 크기는?</x:v>
      </x:c>
      <x:c r="C7" s="21" t="str">
        <x:v>성능 기준</x:v>
      </x:c>
      <x:c r="D7" s="21" t="str">
        <x:v>미공개</x:v>
      </x:c>
      <x:c r="E7" s="21" t="str">
        <x:v>load test threshold</x:v>
      </x:c>
      <x:c r="F7" s="21" t="str">
        <x:v>OPEN</x:v>
      </x:c>
    </x:row>
    <x:row r="8">
      <x:c r="A8" s="21" t="str">
        <x:v>P0</x:v>
      </x:c>
      <x:c r="B8" s="21" t="str">
        <x:v>팀 service app의 실제 QPM/TPM 한도와 rate-limit 응답 header는 무엇인가?</x:v>
      </x:c>
      <x:c r="C8" s="21" t="str">
        <x:v>HCX 비용·안정성</x:v>
      </x:c>
      <x:c r="D8" s="21" t="str">
        <x:v>보수적 30 QPM·60,000 TPM budget</x:v>
      </x:c>
      <x:c r="E8" s="21" t="str">
        <x:v>운영 limiter·비용 cap</x:v>
      </x:c>
      <x:c r="F8" s="21" t="str">
        <x:v>OPEN</x:v>
      </x:c>
    </x:row>
    <x:row r="9">
      <x:c r="A9" s="21" t="str">
        <x:v>P0</x:v>
      </x:c>
      <x:c r="B9" s="21" t="str">
        <x:v>비공개 평가 질의에서 결과 상품 집합·순서·값·근거 각각의 채점 비중은?</x:v>
      </x:c>
      <x:c r="C9" s="21" t="str">
        <x:v>MVP 우선순위</x:v>
      </x:c>
      <x:c r="D9" s="21" t="str">
        <x:v>정량·정성 혼합만 공개</x:v>
      </x:c>
      <x:c r="E9" s="21" t="str">
        <x:v>gold/eval matrix</x:v>
      </x:c>
      <x:c r="F9" s="21" t="str">
        <x:v>OPEN</x:v>
      </x:c>
    </x:row>
    <x:row r="10">
      <x:c r="A10" s="21" t="str">
        <x:v>P0</x:v>
      </x:c>
      <x:c r="B10" s="21" t="str">
        <x:v>설명회 참고 질의 set은 언제·어떤 형식으로 제공되는가?</x:v>
      </x:c>
      <x:c r="C10" s="21" t="str">
        <x:v>테스트 적합성</x:v>
      </x:c>
      <x:c r="D10" s="21" t="str">
        <x:v>미제공</x:v>
      </x:c>
      <x:c r="E10" s="21" t="str">
        <x:v>gold fixtures</x:v>
      </x:c>
      <x:c r="F10" s="21" t="str">
        <x:v>OPEN</x:v>
      </x:c>
    </x:row>
    <x:row r="11">
      <x:c r="A11" s="21" t="str">
        <x:v>P1</x:v>
      </x:c>
      <x:c r="B11" s="21" t="str">
        <x:v>공모펀드 95,619건은 속성행인가 상품인가; 상품 수 집계 기준은 itm_no distinct가 맞는가?</x:v>
      </x:c>
      <x:c r="C11" s="21" t="str">
        <x:v>count basis</x:v>
      </x:c>
      <x:c r="D11" s="21" t="str">
        <x:v>11,139 logical products</x:v>
      </x:c>
      <x:c r="E11" s="21" t="str">
        <x:v>registry·answer wording</x:v>
      </x:c>
      <x:c r="F11" s="21" t="str">
        <x:v>OPEN</x:v>
      </x:c>
    </x:row>
    <x:row r="12">
      <x:c r="A12" s="21" t="str">
        <x:v>P1</x:v>
      </x:c>
      <x:c r="B12" s="21" t="str">
        <x:v>펀드를 별도 수식어 없이 물으면 공모 11,115개를 기본 universe로 보는가? 사모 15개는 명시 요청에서만 포함하는가?</x:v>
      </x:c>
      <x:c r="C12" s="21" t="str">
        <x:v>기본 scope</x:v>
      </x:c>
      <x:c r="D12" s="21" t="str">
        <x:v>공모 기본·사모 opt-in</x:v>
      </x:c>
      <x:c r="E12" s="21" t="str">
        <x:v>planner·gold tests</x:v>
      </x:c>
      <x:c r="F12" s="21" t="str">
        <x:v>OPEN</x:v>
      </x:c>
    </x:row>
    <x:row r="13">
      <x:c r="A13" s="21" t="str">
        <x:v>P1</x:v>
      </x:c>
      <x:c r="B13" s="21" t="str">
        <x:v>국내 ETF 1년 수익률 채점 분모는 원본 존재 986, 품질 유효 951, 2026-06-15 공통 최신일 940 중 무엇인가?</x:v>
      </x:c>
      <x:c r="C13" s="21" t="str">
        <x:v>coverage·순위 일치</x:v>
      </x:c>
      <x:c r="D13" s="21" t="str">
        <x:v>순위는 공통 최신일 940, 제공 건수는 986로 분리</x:v>
      </x:c>
      <x:c r="E13" s="21" t="str">
        <x:v>evidence·fixture</x:v>
      </x:c>
      <x:c r="F13" s="21" t="str">
        <x:v>OPEN</x:v>
      </x:c>
    </x:row>
    <x:row r="14">
      <x:c r="A14" s="21" t="str">
        <x:v>P1</x:v>
      </x:c>
      <x:c r="B14" s="21" t="str">
        <x:v>국내 ETF 총보수 0과 해외 ETF 총보수 0은 진짜 0인가 결측/미제공인가?</x:v>
      </x:c>
      <x:c r="C14" s="21" t="str">
        <x:v>순위 안전</x:v>
      </x:c>
      <x:c r="D14" s="21" t="str">
        <x:v>pending zero policy</x:v>
      </x:c>
      <x:c r="E14" s="21" t="str">
        <x:v>metric policy</x:v>
      </x:c>
      <x:c r="F14" s="21" t="str">
        <x:v>OPEN</x:v>
      </x:c>
    </x:row>
    <x:row r="15">
      <x:c r="A15" s="21" t="str">
        <x:v>P1</x:v>
      </x:c>
      <x:c r="B15" s="21" t="str">
        <x:v>해외 ETP AUM 필드의 통화·단위와 기준일은 무엇인가?</x:v>
      </x:c>
      <x:c r="C15" s="21" t="str">
        <x:v>금액 비교</x:v>
      </x:c>
      <x:c r="D15" s="21" t="str">
        <x:v>단위 미확정; 기준일은 du_nav_base_dt</x:v>
      </x:c>
      <x:c r="E15" s="21" t="str">
        <x:v>unit registry·tests</x:v>
      </x:c>
      <x:c r="F15" s="21" t="str">
        <x:v>OPEN</x:v>
      </x:c>
    </x:row>
    <x:row r="16">
      <x:c r="A16" s="21" t="str">
        <x:v>P1</x:v>
      </x:c>
      <x:c r="B16" s="21" t="str">
        <x:v>해외 ETF 종가의 decimal/scale 규칙은 무엇인가? 예: SPY 원문 120950을 120,950로 읽는가 120.950로 읽는가?</x:v>
      </x:c>
      <x:c r="C16" s="21" t="str">
        <x:v>가격 표시 정확성</x:v>
      </x:c>
      <x:c r="D16" s="21" t="str">
        <x:v>원문 보존·단위 미확정 경고</x:v>
      </x:c>
      <x:c r="E16" s="21" t="str">
        <x:v>normalization policy</x:v>
      </x:c>
      <x:c r="F16" s="21" t="str">
        <x:v>OPEN</x:v>
      </x:c>
    </x:row>
    <x:row r="17">
      <x:c r="A17" s="21" t="str">
        <x:v>P1</x:v>
      </x:c>
      <x:c r="B17" s="21" t="str">
        <x:v>국내/해외 ETF AUM 교차 비교 시 지정 환율·기준일이 있는가?</x:v>
      </x:c>
      <x:c r="C17" s="21" t="str">
        <x:v>교차상품 비교</x:v>
      </x:c>
      <x:c r="D17" s="21" t="str">
        <x:v>정의 없으면 INCOMPARABLE</x:v>
      </x:c>
      <x:c r="E17" s="21" t="str">
        <x:v>cross-product policy</x:v>
      </x:c>
      <x:c r="F17" s="21" t="str">
        <x:v>OPEN</x:v>
      </x:c>
    </x:row>
    <x:row r="18">
      <x:c r="A18" s="21" t="str">
        <x:v>P1</x:v>
      </x:c>
      <x:c r="B18" s="21" t="str">
        <x:v>해외 ETF 1일 수익률이 모두 0인 필드는 평가에서 사용하지 않는 것이 맞는가?</x:v>
      </x:c>
      <x:c r="C18" s="21" t="str">
        <x:v>데이터 품질</x:v>
      </x:c>
      <x:c r="D18" s="21" t="str">
        <x:v>UNUSABLE_CONSTANT</x:v>
      </x:c>
      <x:c r="E18" s="21" t="str">
        <x:v>quality policy</x:v>
      </x:c>
      <x:c r="F18" s="21" t="str">
        <x:v>OPEN</x:v>
      </x:c>
    </x:row>
    <x:row r="19">
      <x:c r="A19" s="21" t="str">
        <x:v>P1</x:v>
      </x:c>
      <x:c r="B19" s="21" t="str">
        <x:v>펀드 보수처럼 제공 데이터에 없는 값은 외부 수집을 기대하는가, 확인불가가 정답인가?</x:v>
      </x:c>
      <x:c r="C19" s="21" t="str">
        <x:v>외부 데이터 범위</x:v>
      </x:c>
      <x:c r="D19" s="21" t="str">
        <x:v>공식 데이터 우선·없으면 확인불가</x:v>
      </x:c>
      <x:c r="E19" s="21" t="str">
        <x:v>MVP scope</x:v>
      </x:c>
      <x:c r="F19" s="21" t="str">
        <x:v>OPEN</x:v>
      </x:c>
    </x:row>
    <x:row r="20">
      <x:c r="A20" s="21" t="str">
        <x:v>P1</x:v>
      </x:c>
      <x:c r="B20" s="21" t="str">
        <x:v>외부 데이터 사용 시 허용 출처·snapshot 기준·근거 표기·충돌 판정 방식은?</x:v>
      </x:c>
      <x:c r="C20" s="21" t="str">
        <x:v>재현성</x:v>
      </x:c>
      <x:c r="D20" s="21" t="str">
        <x:v>주최 데이터 우선</x:v>
      </x:c>
      <x:c r="E20" s="21" t="str">
        <x:v>source registry</x:v>
      </x:c>
      <x:c r="F20" s="21" t="str">
        <x:v>OPEN</x:v>
      </x:c>
    </x:row>
    <x:row r="21">
      <x:c r="A21" s="21" t="str">
        <x:v>P1</x:v>
      </x:c>
      <x:c r="B21" s="21" t="str">
        <x:v>설명 기능은 조회 결과의 근거 설명인가, 상품 정의·용어 설명까지 포함하는가?</x:v>
      </x:c>
      <x:c r="C21" s="21" t="str">
        <x:v>standalone explain</x:v>
      </x:c>
      <x:c r="D21" s="21" t="str">
        <x:v>정확 상품 대상의 원본 기반 설명 구현; 일반 용어 생성은 fail-closed</x:v>
      </x:c>
      <x:c r="E21" s="21" t="str">
        <x:v>explain intent scope</x:v>
      </x:c>
      <x:c r="F21" s="21" t="str">
        <x:v>OPEN</x:v>
      </x:c>
    </x:row>
    <x:row r="22">
      <x:c r="A22" s="21" t="str">
        <x:v>P1</x:v>
      </x:c>
      <x:c r="B22" s="21" t="str">
        <x:v>CLOVA Studio credit/quota 초과 시 평가 재시도·장애 처리 기준은?</x:v>
      </x:c>
      <x:c r="C22" s="21" t="str">
        <x:v>가용성</x:v>
      </x:c>
      <x:c r="D22" s="21" t="str">
        <x:v>non-HCX fallback 금지</x:v>
      </x:c>
      <x:c r="E22" s="21" t="str">
        <x:v>retry/circuit breaker</x:v>
      </x:c>
      <x:c r="F22" s="21" t="str">
        <x:v>OPEN</x:v>
      </x:c>
    </x:row>
    <x:row r="23">
      <x:c r="A23" s="21" t="str">
        <x:v>P2</x:v>
      </x:c>
      <x:c r="B23" s="21" t="str">
        <x:v>대회·미래에셋·네이버 로고 사용 가능 범위와 공식 asset kit/가이드가 있는가?</x:v>
      </x:c>
      <x:c r="C23" s="21" t="str">
        <x:v>브랜딩</x:v>
      </x:c>
      <x:c r="D23" s="21" t="str">
        <x:v>허가 없는 로고 재제작 금지</x:v>
      </x:c>
      <x:c r="E23" s="21" t="str">
        <x:v>brand policy</x:v>
      </x:c>
      <x:c r="F23" s="21" t="str">
        <x:v>OPEN</x:v>
      </x:c>
    </x:row>
  </x:sheetData>
  <x:conditionalFormatting sqref="F2:F23">
    <x:cfRule type="containsText" dxfId="10" priority="1" operator="containsText" text="OPEN"/>
  </x:conditionalFormatting>
  <x:pageMargins left="0.7" right="0.7" top="0.75" bottom="0.75" header="0.3" footer="0.3"/>
  <x:tableParts count="1">
    <x:tablePart xmlns:r="http://schemas.openxmlformats.org/officeDocument/2006/relationships" r:id="R943b7ebdea27405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32" hidden="0" customWidth="1"/>
    <x:col min="2" max="2" width="18" hidden="0" customWidth="1"/>
    <x:col min="3" max="3" width="18" hidden="0" customWidth="1"/>
    <x:col min="4" max="4" width="18" hidden="0" customWidth="1"/>
    <x:col min="5" max="5" width="14" hidden="0" customWidth="1"/>
    <x:col min="6" max="6" width="16" hidden="0" customWidth="1"/>
    <x:col min="7" max="7" width="52" hidden="0" customWidth="1"/>
  </x:cols>
  <x:sheetData>
    <x:row r="1" ht="34" customHeight="1">
      <x:c r="A1" s="12" t="str">
        <x:v>check</x:v>
      </x:c>
      <x:c r="B1" s="13" t="str">
        <x:v>actual</x:v>
      </x:c>
      <x:c r="C1" s="13" t="str">
        <x:v>expected</x:v>
      </x:c>
      <x:c r="D1" s="13" t="str">
        <x:v>difference</x:v>
      </x:c>
      <x:c r="E1" s="13" t="str">
        <x:v>tolerance</x:v>
      </x:c>
      <x:c r="F1" s="13" t="str">
        <x:v>status</x:v>
      </x:c>
      <x:c r="G1" s="14" t="str">
        <x:v>notes</x:v>
      </x:c>
    </x:row>
    <x:row r="2">
      <x:c r="A2" s="20" t="str">
        <x:v>raw rows</x:v>
      </x:c>
      <x:c r="B2" s="25" t="n">
        <x:f>'Dataset Summary'!D6</x:f>
        <x:v>145393</x:v>
      </x:c>
      <x:c r="C2" s="25" t="n">
        <x:v>145393</x:v>
      </x:c>
      <x:c r="D2" s="25" t="n">
        <x:f>B2-C2</x:f>
        <x:v>0</x:v>
      </x:c>
      <x:c r="E2" s="25" t="n">
        <x:v>0</x:v>
      </x:c>
      <x:c r="F2" s="20" t="str">
        <x:f>IF(ABS(D2)&lt;=E2,"OK","FAIL")</x:f>
        <x:v>OK</x:v>
      </x:c>
      <x:c r="G2" s="20" t="str">
        <x:v>공식 4개 datarows 합계</x:v>
      </x:c>
    </x:row>
    <x:row r="3">
      <x:c r="A3" s="21" t="str">
        <x:v>logical products</x:v>
      </x:c>
      <x:c r="B3" s="26" t="n">
        <x:f>'Dataset Summary'!F6</x:f>
        <x:v>60913</x:v>
      </x:c>
      <x:c r="C3" s="26" t="n">
        <x:v>60913</x:v>
      </x:c>
      <x:c r="D3" s="26" t="n">
        <x:f>B3-C3</x:f>
        <x:v>0</x:v>
      </x:c>
      <x:c r="E3" s="26" t="n">
        <x:v>0</x:v>
      </x:c>
      <x:c r="F3" s="21" t="str">
        <x:f>IF(ABS(D3)&lt;=E3,"OK","FAIL")</x:f>
        <x:v>OK</x:v>
      </x:c>
      <x:c r="G3" s="21" t="str">
        <x:v>fund는 itm_no distinct</x:v>
      </x:c>
    </x:row>
    <x:row r="4">
      <x:c r="A4" s="21" t="str">
        <x:v>serving products</x:v>
      </x:c>
      <x:c r="B4" s="26" t="n">
        <x:f>'Dataset Summary'!G6</x:f>
        <x:v>60903</x:v>
      </x:c>
      <x:c r="C4" s="26" t="n">
        <x:v>60903</x:v>
      </x:c>
      <x:c r="D4" s="26" t="n">
        <x:f>B4-C4</x:f>
        <x:v>0</x:v>
      </x:c>
      <x:c r="E4" s="26" t="n">
        <x:v>0</x:v>
      </x:c>
      <x:c r="F4" s="21" t="str">
        <x:f>IF(ABS(D4)&lt;=E4,"OK","FAIL")</x:f>
        <x:v>OK</x:v>
      </x:c>
      <x:c r="G4" s="21" t="str">
        <x:v>quarantine 제외</x:v>
      </x:c>
    </x:row>
    <x:row r="5">
      <x:c r="A5" s="21" t="str">
        <x:v>quarantine rows</x:v>
      </x:c>
      <x:c r="B5" s="26" t="n">
        <x:f>'Dataset Summary'!H6</x:f>
        <x:v>10</x:v>
      </x:c>
      <x:c r="C5" s="26" t="n">
        <x:v>10</x:v>
      </x:c>
      <x:c r="D5" s="26" t="n">
        <x:f>B5-C5</x:f>
        <x:v>0</x:v>
      </x:c>
      <x:c r="E5" s="26" t="n">
        <x:v>0</x:v>
      </x:c>
      <x:c r="F5" s="21" t="str">
        <x:f>IF(ABS(D5)&lt;=E5,"OK","FAIL")</x:f>
        <x:v>OK</x:v>
      </x:c>
      <x:c r="G5" s="21" t="str">
        <x:v>국내1+해외8+펀드1</x:v>
      </x:c>
    </x:row>
    <x:row r="6">
      <x:c r="A6" s="21" t="str">
        <x:v>fund serving attribute rows</x:v>
      </x:c>
      <x:c r="B6" s="26" t="n">
        <x:f>'Dataset Summary'!I5</x:f>
        <x:v>95618</x:v>
      </x:c>
      <x:c r="C6" s="26" t="n">
        <x:v>95618</x:v>
      </x:c>
      <x:c r="D6" s="26" t="n">
        <x:f>B6-C6</x:f>
        <x:v>0</x:v>
      </x:c>
      <x:c r="E6" s="26" t="n">
        <x:v>0</x:v>
      </x:c>
      <x:c r="F6" s="21" t="str">
        <x:f>IF(ABS(D6)&lt;=E6,"OK","FAIL")</x:f>
        <x:v>OK</x:v>
      </x:c>
      <x:c r="G6" s="21" t="str">
        <x:v>손상 속성행 1개 제외</x:v>
      </x:c>
    </x:row>
    <x:row r="7">
      <x:c r="A7" s="21" t="str">
        <x:v>metric policy rows</x:v>
      </x:c>
      <x:c r="B7" s="26" t="n">
        <x:f>COUNTA('Metric Policy'!A2:A60)</x:f>
        <x:v>59</x:v>
      </x:c>
      <x:c r="C7" s="26" t="n">
        <x:v>59</x:v>
      </x:c>
      <x:c r="D7" s="26" t="n">
        <x:f>B7-C7</x:f>
        <x:v>0</x:v>
      </x:c>
      <x:c r="E7" s="26" t="n">
        <x:v>0</x:v>
      </x:c>
      <x:c r="F7" s="21" t="str">
        <x:f>IF(ABS(D7)&lt;=E7,"OK","FAIL")</x:f>
        <x:v>OK</x:v>
      </x:c>
      <x:c r="G7" s="21" t="str">
        <x:v>registry/metric_policy_v1.csv</x:v>
      </x:c>
    </x:row>
    <x:row r="8">
      <x:c r="A8" s="21" t="str">
        <x:v>canonical field rows</x:v>
      </x:c>
      <x:c r="B8" s="26" t="n">
        <x:f>COUNTA('Canonical Registry'!A2:A208)</x:f>
        <x:v>207</x:v>
      </x:c>
      <x:c r="C8" s="26" t="n">
        <x:v>207</x:v>
      </x:c>
      <x:c r="D8" s="26" t="n">
        <x:f>B8-C8</x:f>
        <x:v>0</x:v>
      </x:c>
      <x:c r="E8" s="26" t="n">
        <x:v>0</x:v>
      </x:c>
      <x:c r="F8" s="21" t="str">
        <x:f>IF(ABS(D8)&lt;=E8,"OK","FAIL")</x:f>
        <x:v>OK</x:v>
      </x:c>
      <x:c r="G8" s="21" t="str">
        <x:v>registry/canonical_fields_v1.csv</x:v>
      </x:c>
    </x:row>
    <x:row r="9">
      <x:c r="A9" s="21" t="str">
        <x:v>metric evidence rows</x:v>
      </x:c>
      <x:c r="B9" s="26" t="n">
        <x:v>1156332</x:v>
      </x:c>
      <x:c r="C9" s="26" t="n">
        <x:v>1156332</x:v>
      </x:c>
      <x:c r="D9" s="26" t="n">
        <x:f>B9-C9</x:f>
        <x:v>0</x:v>
      </x:c>
      <x:c r="E9" s="26" t="n">
        <x:v>0</x:v>
      </x:c>
      <x:c r="F9" s="21" t="str">
        <x:f>IF(ABS(D9)&lt;=E9,"OK","FAIL")</x:f>
        <x:v>OK</x:v>
      </x:c>
      <x:c r="G9" s="21" t="str">
        <x:v>최신 전체 ETL DB</x:v>
      </x:c>
    </x:row>
    <x:row r="10">
      <x:c r="A10" s="24" t="str">
        <x:v>overall</x:v>
      </x:c>
      <x:c r="B10" s="24"/>
      <x:c r="C10" s="24"/>
      <x:c r="D10" s="24"/>
      <x:c r="E10" s="24"/>
      <x:c r="F10" s="24" t="str">
        <x:f>IF(COUNTIF(F2:F9,"FAIL")=0,"OK","FAIL")</x:f>
        <x:v>OK</x:v>
      </x:c>
      <x:c r="G10" s="24" t="str">
        <x:v>모든 세부 check가 OK여야 함</x:v>
      </x:c>
    </x:row>
  </x:sheetData>
  <x:conditionalFormatting sqref="F2:F10">
    <x:cfRule type="containsText" dxfId="11" priority="1" operator="containsText" text="OK"/>
    <x:cfRule type="containsText" dxfId="12" priority="2" operator="containsText" text="FAIL"/>
  </x:conditionalFormatting>
  <x:pageMargins left="0.7" right="0.7" top="0.75" bottom="0.75" header="0.3" footer="0.3"/>
  <x:tableParts count="1">
    <x:tablePart xmlns:r="http://schemas.openxmlformats.org/officeDocument/2006/relationships" r:id="R6fb0ef39ec494b3d"/>
  </x:tableParts>
</x:worksheet>
</file>